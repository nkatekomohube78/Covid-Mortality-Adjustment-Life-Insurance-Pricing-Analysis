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ateko Mohube\Downloads\"/>
    </mc:Choice>
  </mc:AlternateContent>
  <xr:revisionPtr revIDLastSave="0" documentId="8_{EB7684FE-4976-4E4D-A4CF-F97C7B2C986D}" xr6:coauthVersionLast="47" xr6:coauthVersionMax="47" xr10:uidLastSave="{00000000-0000-0000-0000-000000000000}"/>
  <bookViews>
    <workbookView xWindow="-110" yWindow="-110" windowWidth="19420" windowHeight="10300" activeTab="3" xr2:uid="{3D74CCD8-D70F-4AB2-A03F-BF22476ADF8A}"/>
  </bookViews>
  <sheets>
    <sheet name="Details" sheetId="1" r:id="rId1"/>
    <sheet name="Inputs" sheetId="2" r:id="rId2"/>
    <sheet name="Calculations" sheetId="4" r:id="rId3"/>
    <sheet name="Results" sheetId="5" r:id="rId4"/>
    <sheet name="Comments" sheetId="6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8" i="5" l="1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117" i="5"/>
  <c r="E136" i="5"/>
  <c r="E137" i="5" s="1"/>
  <c r="E138" i="5" s="1"/>
  <c r="E22" i="5"/>
  <c r="E21" i="4"/>
  <c r="D21" i="4"/>
  <c r="L232" i="5"/>
  <c r="L234" i="5"/>
  <c r="L235" i="5"/>
  <c r="L236" i="5"/>
  <c r="L239" i="5"/>
  <c r="L244" i="5"/>
  <c r="L256" i="5"/>
  <c r="L257" i="5"/>
  <c r="L258" i="5"/>
  <c r="L259" i="5"/>
  <c r="L260" i="5"/>
  <c r="L265" i="5"/>
  <c r="L268" i="5"/>
  <c r="L280" i="5"/>
  <c r="L282" i="5"/>
  <c r="L284" i="5"/>
  <c r="L292" i="5"/>
  <c r="L296" i="5"/>
  <c r="L299" i="5"/>
  <c r="L304" i="5"/>
  <c r="M297" i="5"/>
  <c r="K236" i="5"/>
  <c r="K244" i="5"/>
  <c r="K297" i="5"/>
  <c r="J230" i="5"/>
  <c r="L230" i="5" s="1"/>
  <c r="J231" i="5"/>
  <c r="L231" i="5" s="1"/>
  <c r="J232" i="5"/>
  <c r="J233" i="5"/>
  <c r="L233" i="5" s="1"/>
  <c r="J234" i="5"/>
  <c r="J235" i="5"/>
  <c r="J236" i="5"/>
  <c r="J237" i="5"/>
  <c r="L237" i="5" s="1"/>
  <c r="J238" i="5"/>
  <c r="L238" i="5" s="1"/>
  <c r="J239" i="5"/>
  <c r="J240" i="5"/>
  <c r="L240" i="5" s="1"/>
  <c r="J241" i="5"/>
  <c r="L241" i="5" s="1"/>
  <c r="J242" i="5"/>
  <c r="L242" i="5" s="1"/>
  <c r="J243" i="5"/>
  <c r="L243" i="5" s="1"/>
  <c r="J244" i="5"/>
  <c r="J245" i="5"/>
  <c r="L245" i="5" s="1"/>
  <c r="J246" i="5"/>
  <c r="L246" i="5" s="1"/>
  <c r="J247" i="5"/>
  <c r="L247" i="5" s="1"/>
  <c r="J248" i="5"/>
  <c r="L248" i="5" s="1"/>
  <c r="J249" i="5"/>
  <c r="L249" i="5" s="1"/>
  <c r="J250" i="5"/>
  <c r="L250" i="5" s="1"/>
  <c r="J251" i="5"/>
  <c r="J252" i="5"/>
  <c r="L252" i="5" s="1"/>
  <c r="J253" i="5"/>
  <c r="L253" i="5" s="1"/>
  <c r="J254" i="5"/>
  <c r="L254" i="5" s="1"/>
  <c r="J255" i="5"/>
  <c r="L255" i="5" s="1"/>
  <c r="J256" i="5"/>
  <c r="J257" i="5"/>
  <c r="J258" i="5"/>
  <c r="J259" i="5"/>
  <c r="J260" i="5"/>
  <c r="J261" i="5"/>
  <c r="L261" i="5" s="1"/>
  <c r="J262" i="5"/>
  <c r="L262" i="5" s="1"/>
  <c r="J263" i="5"/>
  <c r="L263" i="5" s="1"/>
  <c r="J264" i="5"/>
  <c r="L264" i="5" s="1"/>
  <c r="J265" i="5"/>
  <c r="J266" i="5"/>
  <c r="L266" i="5" s="1"/>
  <c r="J267" i="5"/>
  <c r="L267" i="5" s="1"/>
  <c r="J268" i="5"/>
  <c r="J269" i="5"/>
  <c r="L269" i="5" s="1"/>
  <c r="J270" i="5"/>
  <c r="L270" i="5" s="1"/>
  <c r="J271" i="5"/>
  <c r="L271" i="5" s="1"/>
  <c r="J272" i="5"/>
  <c r="L272" i="5" s="1"/>
  <c r="J273" i="5"/>
  <c r="L273" i="5" s="1"/>
  <c r="J274" i="5"/>
  <c r="L274" i="5" s="1"/>
  <c r="J275" i="5"/>
  <c r="L275" i="5" s="1"/>
  <c r="J276" i="5"/>
  <c r="L276" i="5" s="1"/>
  <c r="J277" i="5"/>
  <c r="L277" i="5" s="1"/>
  <c r="J278" i="5"/>
  <c r="L278" i="5" s="1"/>
  <c r="J279" i="5"/>
  <c r="L279" i="5" s="1"/>
  <c r="J280" i="5"/>
  <c r="J281" i="5"/>
  <c r="L281" i="5" s="1"/>
  <c r="J282" i="5"/>
  <c r="J283" i="5"/>
  <c r="L283" i="5" s="1"/>
  <c r="J284" i="5"/>
  <c r="J285" i="5"/>
  <c r="L285" i="5" s="1"/>
  <c r="J286" i="5"/>
  <c r="L286" i="5" s="1"/>
  <c r="J287" i="5"/>
  <c r="L287" i="5" s="1"/>
  <c r="J288" i="5"/>
  <c r="L288" i="5" s="1"/>
  <c r="J289" i="5"/>
  <c r="L289" i="5" s="1"/>
  <c r="J290" i="5"/>
  <c r="L290" i="5" s="1"/>
  <c r="J291" i="5"/>
  <c r="L291" i="5" s="1"/>
  <c r="J292" i="5"/>
  <c r="J293" i="5"/>
  <c r="L293" i="5" s="1"/>
  <c r="J294" i="5"/>
  <c r="L294" i="5" s="1"/>
  <c r="J295" i="5"/>
  <c r="L295" i="5" s="1"/>
  <c r="J296" i="5"/>
  <c r="J297" i="5"/>
  <c r="L297" i="5" s="1"/>
  <c r="J298" i="5"/>
  <c r="L298" i="5" s="1"/>
  <c r="J299" i="5"/>
  <c r="J300" i="5"/>
  <c r="L300" i="5" s="1"/>
  <c r="J301" i="5"/>
  <c r="L301" i="5" s="1"/>
  <c r="J302" i="5"/>
  <c r="L302" i="5" s="1"/>
  <c r="J303" i="5"/>
  <c r="L303" i="5" s="1"/>
  <c r="J304" i="5"/>
  <c r="J305" i="5"/>
  <c r="L305" i="5" s="1"/>
  <c r="J306" i="5"/>
  <c r="L306" i="5" s="1"/>
  <c r="J307" i="5"/>
  <c r="L307" i="5" s="1"/>
  <c r="J308" i="5"/>
  <c r="L308" i="5" s="1"/>
  <c r="J309" i="5"/>
  <c r="L309" i="5" s="1"/>
  <c r="J310" i="5"/>
  <c r="L310" i="5" s="1"/>
  <c r="J311" i="5"/>
  <c r="L311" i="5" s="1"/>
  <c r="J312" i="5"/>
  <c r="L312" i="5" s="1"/>
  <c r="J313" i="5"/>
  <c r="L313" i="5" s="1"/>
  <c r="J229" i="5"/>
  <c r="L229" i="5" s="1"/>
  <c r="J228" i="5"/>
  <c r="L228" i="5" s="1"/>
  <c r="G314" i="5"/>
  <c r="M296" i="5" s="1"/>
  <c r="F331" i="5"/>
  <c r="G331" i="5" s="1"/>
  <c r="M313" i="5" s="1"/>
  <c r="F327" i="5"/>
  <c r="F323" i="5"/>
  <c r="F321" i="5"/>
  <c r="G321" i="5" s="1"/>
  <c r="F318" i="5"/>
  <c r="F316" i="5"/>
  <c r="F315" i="5"/>
  <c r="G315" i="5" s="1"/>
  <c r="F314" i="5"/>
  <c r="K296" i="5" s="1"/>
  <c r="F313" i="5"/>
  <c r="G313" i="5" s="1"/>
  <c r="M295" i="5" s="1"/>
  <c r="F312" i="5"/>
  <c r="K294" i="5" s="1"/>
  <c r="F311" i="5"/>
  <c r="F302" i="5"/>
  <c r="G302" i="5" s="1"/>
  <c r="F301" i="5"/>
  <c r="G301" i="5" s="1"/>
  <c r="M283" i="5" s="1"/>
  <c r="F300" i="5"/>
  <c r="G300" i="5" s="1"/>
  <c r="M282" i="5" s="1"/>
  <c r="F299" i="5"/>
  <c r="F297" i="5"/>
  <c r="F296" i="5"/>
  <c r="G296" i="5" s="1"/>
  <c r="M278" i="5" s="1"/>
  <c r="F295" i="5"/>
  <c r="F288" i="5"/>
  <c r="G288" i="5" s="1"/>
  <c r="M270" i="5" s="1"/>
  <c r="F287" i="5"/>
  <c r="F285" i="5"/>
  <c r="G285" i="5" s="1"/>
  <c r="M267" i="5" s="1"/>
  <c r="F272" i="5"/>
  <c r="F271" i="5"/>
  <c r="G271" i="5" s="1"/>
  <c r="M253" i="5" s="1"/>
  <c r="F270" i="5"/>
  <c r="F269" i="5"/>
  <c r="K251" i="5" s="1"/>
  <c r="F268" i="5"/>
  <c r="F267" i="5"/>
  <c r="K249" i="5" s="1"/>
  <c r="F266" i="5"/>
  <c r="G266" i="5" s="1"/>
  <c r="M248" i="5" s="1"/>
  <c r="F265" i="5"/>
  <c r="K247" i="5" s="1"/>
  <c r="F256" i="5"/>
  <c r="K238" i="5" s="1"/>
  <c r="F255" i="5"/>
  <c r="F254" i="5"/>
  <c r="G254" i="5" s="1"/>
  <c r="M236" i="5" s="1"/>
  <c r="F253" i="5"/>
  <c r="F252" i="5"/>
  <c r="G252" i="5" s="1"/>
  <c r="M234" i="5" s="1"/>
  <c r="F251" i="5"/>
  <c r="W234" i="5"/>
  <c r="W233" i="5"/>
  <c r="W232" i="5"/>
  <c r="W231" i="5"/>
  <c r="W230" i="5"/>
  <c r="W229" i="5"/>
  <c r="H117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119" i="5"/>
  <c r="H118" i="5"/>
  <c r="I117" i="5" s="1"/>
  <c r="E23" i="5"/>
  <c r="E24" i="5"/>
  <c r="E25" i="5"/>
  <c r="E26" i="5" s="1"/>
  <c r="E27" i="5" s="1"/>
  <c r="E28" i="5" s="1"/>
  <c r="E29" i="5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D102" i="5"/>
  <c r="D101" i="5"/>
  <c r="D97" i="5"/>
  <c r="D95" i="5"/>
  <c r="D92" i="5"/>
  <c r="D91" i="5"/>
  <c r="D84" i="5"/>
  <c r="D83" i="5"/>
  <c r="D79" i="5"/>
  <c r="D78" i="5"/>
  <c r="D72" i="5"/>
  <c r="D68" i="5"/>
  <c r="D67" i="5"/>
  <c r="D54" i="5"/>
  <c r="D53" i="5"/>
  <c r="D49" i="5"/>
  <c r="D41" i="5"/>
  <c r="D37" i="5"/>
  <c r="D36" i="5"/>
  <c r="D35" i="5"/>
  <c r="J9" i="5"/>
  <c r="F330" i="5" s="1"/>
  <c r="G330" i="5" s="1"/>
  <c r="M312" i="5" s="1"/>
  <c r="J8" i="5"/>
  <c r="F284" i="5" s="1"/>
  <c r="J7" i="5"/>
  <c r="F279" i="5" s="1"/>
  <c r="K261" i="5" s="1"/>
  <c r="J6" i="5"/>
  <c r="F262" i="5" s="1"/>
  <c r="G262" i="5" s="1"/>
  <c r="M244" i="5" s="1"/>
  <c r="J5" i="5"/>
  <c r="F260" i="5" s="1"/>
  <c r="J4" i="5"/>
  <c r="D25" i="5" s="1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O9" i="2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66" i="4"/>
  <c r="D57" i="4"/>
  <c r="D58" i="4"/>
  <c r="D59" i="4"/>
  <c r="D60" i="4"/>
  <c r="D61" i="4"/>
  <c r="D62" i="4"/>
  <c r="D63" i="4"/>
  <c r="D64" i="4"/>
  <c r="D65" i="4"/>
  <c r="D56" i="4"/>
  <c r="D47" i="4"/>
  <c r="D48" i="4"/>
  <c r="D49" i="4"/>
  <c r="D50" i="4"/>
  <c r="D51" i="4"/>
  <c r="D52" i="4"/>
  <c r="D53" i="4"/>
  <c r="D54" i="4"/>
  <c r="D55" i="4"/>
  <c r="D46" i="4"/>
  <c r="D37" i="4"/>
  <c r="D38" i="4"/>
  <c r="D39" i="4"/>
  <c r="D40" i="4"/>
  <c r="D41" i="4"/>
  <c r="D42" i="4"/>
  <c r="D43" i="4"/>
  <c r="D44" i="4"/>
  <c r="D45" i="4"/>
  <c r="D36" i="4"/>
  <c r="D35" i="4"/>
  <c r="D27" i="4"/>
  <c r="D28" i="4"/>
  <c r="D29" i="4"/>
  <c r="D30" i="4"/>
  <c r="D31" i="4"/>
  <c r="D32" i="4"/>
  <c r="D33" i="4"/>
  <c r="D34" i="4"/>
  <c r="D26" i="4"/>
  <c r="D25" i="4"/>
  <c r="D22" i="4"/>
  <c r="D23" i="4"/>
  <c r="D24" i="4"/>
  <c r="J9" i="4"/>
  <c r="J8" i="4"/>
  <c r="J7" i="4"/>
  <c r="J6" i="4"/>
  <c r="J5" i="4"/>
  <c r="J4" i="4"/>
  <c r="L9" i="2"/>
  <c r="L7" i="2"/>
  <c r="L6" i="2"/>
  <c r="L5" i="2"/>
  <c r="K242" i="5" l="1"/>
  <c r="G260" i="5"/>
  <c r="M242" i="5" s="1"/>
  <c r="K266" i="5"/>
  <c r="G284" i="5"/>
  <c r="M266" i="5" s="1"/>
  <c r="K234" i="5"/>
  <c r="E108" i="5"/>
  <c r="K277" i="5"/>
  <c r="G312" i="5"/>
  <c r="M294" i="5" s="1"/>
  <c r="M251" i="5"/>
  <c r="K278" i="5"/>
  <c r="K279" i="5"/>
  <c r="K270" i="5"/>
  <c r="F258" i="5"/>
  <c r="K267" i="5"/>
  <c r="F259" i="5"/>
  <c r="M303" i="5"/>
  <c r="G269" i="5"/>
  <c r="K253" i="5"/>
  <c r="F261" i="5"/>
  <c r="G261" i="5" s="1"/>
  <c r="M243" i="5" s="1"/>
  <c r="F282" i="5"/>
  <c r="G282" i="5" s="1"/>
  <c r="M264" i="5" s="1"/>
  <c r="M284" i="5"/>
  <c r="K309" i="5"/>
  <c r="D73" i="5"/>
  <c r="D103" i="5"/>
  <c r="F263" i="5"/>
  <c r="F283" i="5"/>
  <c r="G283" i="5" s="1"/>
  <c r="M265" i="5" s="1"/>
  <c r="F303" i="5"/>
  <c r="K285" i="5" s="1"/>
  <c r="F328" i="5"/>
  <c r="K248" i="5"/>
  <c r="D77" i="5"/>
  <c r="D104" i="5"/>
  <c r="F264" i="5"/>
  <c r="F304" i="5"/>
  <c r="K286" i="5" s="1"/>
  <c r="G256" i="5"/>
  <c r="M238" i="5" s="1"/>
  <c r="G259" i="5"/>
  <c r="M241" i="5" s="1"/>
  <c r="K241" i="5"/>
  <c r="G272" i="5"/>
  <c r="M254" i="5" s="1"/>
  <c r="K254" i="5"/>
  <c r="G279" i="5"/>
  <c r="M261" i="5" s="1"/>
  <c r="K265" i="5"/>
  <c r="K295" i="5"/>
  <c r="K233" i="5"/>
  <c r="G251" i="5"/>
  <c r="M233" i="5" s="1"/>
  <c r="K293" i="5"/>
  <c r="G311" i="5"/>
  <c r="M293" i="5" s="1"/>
  <c r="G303" i="5"/>
  <c r="M285" i="5" s="1"/>
  <c r="F246" i="5"/>
  <c r="F250" i="5"/>
  <c r="F249" i="5"/>
  <c r="F248" i="5"/>
  <c r="D24" i="5"/>
  <c r="F247" i="5"/>
  <c r="D23" i="5"/>
  <c r="K269" i="5"/>
  <c r="G287" i="5"/>
  <c r="M269" i="5" s="1"/>
  <c r="K284" i="5"/>
  <c r="K235" i="5"/>
  <c r="G253" i="5"/>
  <c r="M235" i="5" s="1"/>
  <c r="G297" i="5"/>
  <c r="M279" i="5" s="1"/>
  <c r="K283" i="5"/>
  <c r="K250" i="5"/>
  <c r="G268" i="5"/>
  <c r="M250" i="5" s="1"/>
  <c r="G327" i="5"/>
  <c r="M309" i="5" s="1"/>
  <c r="G267" i="5"/>
  <c r="M249" i="5" s="1"/>
  <c r="K313" i="5"/>
  <c r="K282" i="5"/>
  <c r="F274" i="5"/>
  <c r="D47" i="5"/>
  <c r="F277" i="5"/>
  <c r="D48" i="5"/>
  <c r="F280" i="5"/>
  <c r="F278" i="5"/>
  <c r="F276" i="5"/>
  <c r="F275" i="5"/>
  <c r="F273" i="5"/>
  <c r="I119" i="5"/>
  <c r="K237" i="5"/>
  <c r="G255" i="5"/>
  <c r="M237" i="5" s="1"/>
  <c r="G295" i="5"/>
  <c r="M277" i="5" s="1"/>
  <c r="G265" i="5"/>
  <c r="M247" i="5" s="1"/>
  <c r="K312" i="5"/>
  <c r="I120" i="5"/>
  <c r="E139" i="5"/>
  <c r="I118" i="5"/>
  <c r="G270" i="5"/>
  <c r="M252" i="5" s="1"/>
  <c r="K252" i="5"/>
  <c r="K298" i="5"/>
  <c r="G316" i="5"/>
  <c r="M298" i="5" s="1"/>
  <c r="G258" i="5"/>
  <c r="M240" i="5" s="1"/>
  <c r="K240" i="5"/>
  <c r="K281" i="5"/>
  <c r="G299" i="5"/>
  <c r="M281" i="5" s="1"/>
  <c r="G318" i="5"/>
  <c r="M300" i="5" s="1"/>
  <c r="K300" i="5"/>
  <c r="K303" i="5"/>
  <c r="D64" i="5"/>
  <c r="F286" i="5"/>
  <c r="F281" i="5"/>
  <c r="D61" i="5"/>
  <c r="D59" i="5"/>
  <c r="F289" i="5"/>
  <c r="K305" i="5"/>
  <c r="G323" i="5"/>
  <c r="M305" i="5" s="1"/>
  <c r="D106" i="5"/>
  <c r="F322" i="5"/>
  <c r="F310" i="5"/>
  <c r="F298" i="5"/>
  <c r="D89" i="5"/>
  <c r="D71" i="5"/>
  <c r="F329" i="5"/>
  <c r="F317" i="5"/>
  <c r="F305" i="5"/>
  <c r="F293" i="5"/>
  <c r="D98" i="5"/>
  <c r="D80" i="5"/>
  <c r="F320" i="5"/>
  <c r="F306" i="5"/>
  <c r="F291" i="5"/>
  <c r="D96" i="5"/>
  <c r="D74" i="5"/>
  <c r="F319" i="5"/>
  <c r="D60" i="5"/>
  <c r="D85" i="5"/>
  <c r="K243" i="5"/>
  <c r="F290" i="5"/>
  <c r="F307" i="5"/>
  <c r="F324" i="5"/>
  <c r="L251" i="5"/>
  <c r="L316" i="5" s="1"/>
  <c r="L318" i="5" s="1"/>
  <c r="D65" i="5"/>
  <c r="D86" i="5"/>
  <c r="K245" i="5"/>
  <c r="G263" i="5"/>
  <c r="M245" i="5" s="1"/>
  <c r="F292" i="5"/>
  <c r="F308" i="5"/>
  <c r="F325" i="5"/>
  <c r="D66" i="5"/>
  <c r="D90" i="5"/>
  <c r="F294" i="5"/>
  <c r="F309" i="5"/>
  <c r="F326" i="5"/>
  <c r="F257" i="5"/>
  <c r="D29" i="5"/>
  <c r="D22" i="5"/>
  <c r="D21" i="5"/>
  <c r="F22" i="5" s="1"/>
  <c r="D34" i="5"/>
  <c r="D28" i="5"/>
  <c r="D33" i="5"/>
  <c r="D27" i="5"/>
  <c r="D32" i="5"/>
  <c r="D26" i="5"/>
  <c r="D40" i="5"/>
  <c r="D45" i="5"/>
  <c r="D39" i="5"/>
  <c r="D44" i="5"/>
  <c r="D38" i="5"/>
  <c r="D30" i="5"/>
  <c r="D42" i="5"/>
  <c r="D52" i="5"/>
  <c r="D46" i="5"/>
  <c r="D51" i="5"/>
  <c r="D50" i="5"/>
  <c r="D31" i="5"/>
  <c r="D43" i="5"/>
  <c r="D55" i="5"/>
  <c r="D56" i="5"/>
  <c r="D62" i="5"/>
  <c r="D57" i="5"/>
  <c r="D63" i="5"/>
  <c r="D69" i="5"/>
  <c r="D75" i="5"/>
  <c r="D81" i="5"/>
  <c r="D87" i="5"/>
  <c r="D93" i="5"/>
  <c r="D99" i="5"/>
  <c r="D105" i="5"/>
  <c r="D58" i="5"/>
  <c r="D70" i="5"/>
  <c r="D76" i="5"/>
  <c r="D82" i="5"/>
  <c r="D88" i="5"/>
  <c r="D94" i="5"/>
  <c r="D100" i="5"/>
  <c r="K246" i="5" l="1"/>
  <c r="G264" i="5"/>
  <c r="M246" i="5" s="1"/>
  <c r="K264" i="5"/>
  <c r="K310" i="5"/>
  <c r="G328" i="5"/>
  <c r="M310" i="5" s="1"/>
  <c r="G304" i="5"/>
  <c r="M286" i="5" s="1"/>
  <c r="K307" i="5"/>
  <c r="G325" i="5"/>
  <c r="M307" i="5" s="1"/>
  <c r="G307" i="5"/>
  <c r="M289" i="5" s="1"/>
  <c r="K289" i="5"/>
  <c r="K301" i="5"/>
  <c r="G319" i="5"/>
  <c r="M301" i="5" s="1"/>
  <c r="G286" i="5"/>
  <c r="M268" i="5" s="1"/>
  <c r="K268" i="5"/>
  <c r="I121" i="5"/>
  <c r="E140" i="5"/>
  <c r="F23" i="5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F97" i="5" s="1"/>
  <c r="F98" i="5" s="1"/>
  <c r="F99" i="5" s="1"/>
  <c r="F100" i="5" s="1"/>
  <c r="F101" i="5" s="1"/>
  <c r="F102" i="5" s="1"/>
  <c r="F103" i="5" s="1"/>
  <c r="F104" i="5" s="1"/>
  <c r="F105" i="5" s="1"/>
  <c r="F106" i="5" s="1"/>
  <c r="K290" i="5"/>
  <c r="G308" i="5"/>
  <c r="M290" i="5" s="1"/>
  <c r="K272" i="5"/>
  <c r="G290" i="5"/>
  <c r="M272" i="5" s="1"/>
  <c r="G257" i="5"/>
  <c r="M239" i="5" s="1"/>
  <c r="K239" i="5"/>
  <c r="K280" i="5"/>
  <c r="G298" i="5"/>
  <c r="M280" i="5" s="1"/>
  <c r="K257" i="5"/>
  <c r="G275" i="5"/>
  <c r="M257" i="5" s="1"/>
  <c r="G306" i="5"/>
  <c r="M288" i="5" s="1"/>
  <c r="K288" i="5"/>
  <c r="K304" i="5"/>
  <c r="G322" i="5"/>
  <c r="M304" i="5" s="1"/>
  <c r="K258" i="5"/>
  <c r="G276" i="5"/>
  <c r="M258" i="5" s="1"/>
  <c r="G320" i="5"/>
  <c r="M302" i="5" s="1"/>
  <c r="K302" i="5"/>
  <c r="K260" i="5"/>
  <c r="G278" i="5"/>
  <c r="M260" i="5" s="1"/>
  <c r="K229" i="5"/>
  <c r="G247" i="5"/>
  <c r="M229" i="5" s="1"/>
  <c r="K308" i="5"/>
  <c r="G326" i="5"/>
  <c r="M308" i="5" s="1"/>
  <c r="K262" i="5"/>
  <c r="G280" i="5"/>
  <c r="M262" i="5" s="1"/>
  <c r="K291" i="5"/>
  <c r="G309" i="5"/>
  <c r="M291" i="5" s="1"/>
  <c r="K230" i="5"/>
  <c r="G248" i="5"/>
  <c r="M230" i="5" s="1"/>
  <c r="G294" i="5"/>
  <c r="M276" i="5" s="1"/>
  <c r="K276" i="5"/>
  <c r="K275" i="5"/>
  <c r="G293" i="5"/>
  <c r="M275" i="5" s="1"/>
  <c r="K271" i="5"/>
  <c r="G289" i="5"/>
  <c r="M271" i="5" s="1"/>
  <c r="K259" i="5"/>
  <c r="G277" i="5"/>
  <c r="M259" i="5" s="1"/>
  <c r="G249" i="5"/>
  <c r="M231" i="5" s="1"/>
  <c r="K231" i="5"/>
  <c r="K287" i="5"/>
  <c r="G305" i="5"/>
  <c r="M287" i="5" s="1"/>
  <c r="K232" i="5"/>
  <c r="G250" i="5"/>
  <c r="M232" i="5" s="1"/>
  <c r="K274" i="5"/>
  <c r="G292" i="5"/>
  <c r="M274" i="5" s="1"/>
  <c r="G273" i="5"/>
  <c r="M255" i="5" s="1"/>
  <c r="K255" i="5"/>
  <c r="K273" i="5"/>
  <c r="G291" i="5"/>
  <c r="M273" i="5" s="1"/>
  <c r="K292" i="5"/>
  <c r="G310" i="5"/>
  <c r="M292" i="5" s="1"/>
  <c r="G317" i="5"/>
  <c r="M299" i="5" s="1"/>
  <c r="K299" i="5"/>
  <c r="K256" i="5"/>
  <c r="G274" i="5"/>
  <c r="M256" i="5" s="1"/>
  <c r="K228" i="5"/>
  <c r="G246" i="5"/>
  <c r="M228" i="5" s="1"/>
  <c r="G324" i="5"/>
  <c r="M306" i="5" s="1"/>
  <c r="K306" i="5"/>
  <c r="G329" i="5"/>
  <c r="M311" i="5" s="1"/>
  <c r="K311" i="5"/>
  <c r="G281" i="5"/>
  <c r="M263" i="5" s="1"/>
  <c r="K263" i="5"/>
  <c r="M316" i="5" l="1"/>
  <c r="M322" i="5" s="1"/>
  <c r="F108" i="5"/>
  <c r="K316" i="5"/>
  <c r="K322" i="5" s="1"/>
  <c r="E141" i="5"/>
  <c r="I122" i="5"/>
  <c r="E142" i="5" l="1"/>
  <c r="I123" i="5"/>
  <c r="E143" i="5" l="1"/>
  <c r="I124" i="5"/>
  <c r="E144" i="5" l="1"/>
  <c r="I125" i="5"/>
  <c r="E145" i="5" l="1"/>
  <c r="I126" i="5"/>
  <c r="E146" i="5" l="1"/>
  <c r="I127" i="5"/>
  <c r="E147" i="5" l="1"/>
  <c r="I128" i="5"/>
  <c r="E148" i="5" l="1"/>
  <c r="I129" i="5"/>
  <c r="E149" i="5" l="1"/>
  <c r="I130" i="5"/>
  <c r="E150" i="5" l="1"/>
  <c r="I131" i="5"/>
  <c r="E151" i="5" l="1"/>
  <c r="I132" i="5"/>
  <c r="E152" i="5" l="1"/>
  <c r="I133" i="5"/>
  <c r="E153" i="5" l="1"/>
  <c r="I134" i="5"/>
  <c r="E154" i="5" l="1"/>
  <c r="I135" i="5"/>
  <c r="E155" i="5" l="1"/>
  <c r="I136" i="5"/>
  <c r="E156" i="5" l="1"/>
  <c r="I137" i="5"/>
  <c r="E157" i="5" l="1"/>
  <c r="I138" i="5"/>
  <c r="E158" i="5" l="1"/>
  <c r="I139" i="5"/>
  <c r="E159" i="5" l="1"/>
  <c r="I140" i="5"/>
  <c r="E160" i="5" l="1"/>
  <c r="I141" i="5"/>
  <c r="E161" i="5" l="1"/>
  <c r="I142" i="5"/>
  <c r="E162" i="5" l="1"/>
  <c r="I143" i="5"/>
  <c r="E163" i="5" l="1"/>
  <c r="I144" i="5"/>
  <c r="E164" i="5" l="1"/>
  <c r="I145" i="5"/>
  <c r="E165" i="5" l="1"/>
  <c r="I146" i="5"/>
  <c r="E166" i="5" l="1"/>
  <c r="I147" i="5"/>
  <c r="E167" i="5" l="1"/>
  <c r="I148" i="5"/>
  <c r="E168" i="5" l="1"/>
  <c r="I149" i="5"/>
  <c r="E169" i="5" l="1"/>
  <c r="I150" i="5"/>
  <c r="E170" i="5" l="1"/>
  <c r="I151" i="5"/>
  <c r="E171" i="5" l="1"/>
  <c r="I152" i="5"/>
  <c r="E172" i="5" l="1"/>
  <c r="I153" i="5"/>
  <c r="E173" i="5" l="1"/>
  <c r="I154" i="5"/>
  <c r="E174" i="5" l="1"/>
  <c r="I155" i="5"/>
  <c r="E175" i="5" l="1"/>
  <c r="I156" i="5"/>
  <c r="E176" i="5" l="1"/>
  <c r="I157" i="5"/>
  <c r="E177" i="5" l="1"/>
  <c r="I158" i="5"/>
  <c r="E178" i="5" l="1"/>
  <c r="I159" i="5"/>
  <c r="E179" i="5" l="1"/>
  <c r="I160" i="5"/>
  <c r="E180" i="5" l="1"/>
  <c r="I161" i="5"/>
  <c r="E181" i="5" l="1"/>
  <c r="I162" i="5"/>
  <c r="E182" i="5" l="1"/>
  <c r="I163" i="5"/>
  <c r="E183" i="5" l="1"/>
  <c r="I164" i="5"/>
  <c r="E184" i="5" l="1"/>
  <c r="I165" i="5"/>
  <c r="E185" i="5" l="1"/>
  <c r="I166" i="5"/>
  <c r="E186" i="5" l="1"/>
  <c r="I167" i="5"/>
  <c r="E187" i="5" l="1"/>
  <c r="I168" i="5"/>
  <c r="E188" i="5" l="1"/>
  <c r="I169" i="5"/>
  <c r="E189" i="5" l="1"/>
  <c r="I170" i="5"/>
  <c r="E190" i="5" l="1"/>
  <c r="I171" i="5"/>
  <c r="E191" i="5" l="1"/>
  <c r="I172" i="5"/>
  <c r="E192" i="5" l="1"/>
  <c r="I173" i="5"/>
  <c r="E193" i="5" l="1"/>
  <c r="I174" i="5"/>
  <c r="E194" i="5" l="1"/>
  <c r="I175" i="5"/>
  <c r="E195" i="5" l="1"/>
  <c r="I176" i="5"/>
  <c r="E196" i="5" l="1"/>
  <c r="I177" i="5"/>
  <c r="E197" i="5" l="1"/>
  <c r="I178" i="5"/>
  <c r="E198" i="5" l="1"/>
  <c r="I179" i="5"/>
  <c r="E199" i="5" l="1"/>
  <c r="I180" i="5"/>
  <c r="E200" i="5" l="1"/>
  <c r="I181" i="5"/>
  <c r="E201" i="5" l="1"/>
  <c r="I182" i="5"/>
  <c r="E202" i="5" l="1"/>
  <c r="I183" i="5"/>
  <c r="E203" i="5" l="1"/>
  <c r="I184" i="5"/>
  <c r="E204" i="5" l="1"/>
  <c r="I185" i="5"/>
  <c r="E205" i="5" l="1"/>
  <c r="I186" i="5"/>
  <c r="E206" i="5" l="1"/>
  <c r="I187" i="5"/>
  <c r="E207" i="5" l="1"/>
  <c r="I188" i="5"/>
  <c r="E208" i="5" l="1"/>
  <c r="I189" i="5"/>
  <c r="E209" i="5" l="1"/>
  <c r="I190" i="5"/>
  <c r="E210" i="5" l="1"/>
  <c r="I191" i="5"/>
  <c r="E211" i="5" l="1"/>
  <c r="I192" i="5"/>
  <c r="E212" i="5" l="1"/>
  <c r="I193" i="5"/>
  <c r="E213" i="5" l="1"/>
  <c r="I194" i="5"/>
  <c r="E214" i="5" l="1"/>
  <c r="I195" i="5"/>
  <c r="E215" i="5" l="1"/>
  <c r="I196" i="5"/>
  <c r="E216" i="5" l="1"/>
  <c r="I197" i="5"/>
  <c r="E217" i="5" l="1"/>
  <c r="I198" i="5"/>
  <c r="E218" i="5" l="1"/>
  <c r="I199" i="5"/>
  <c r="E219" i="5" l="1"/>
  <c r="I200" i="5"/>
  <c r="E220" i="5" l="1"/>
  <c r="I201" i="5"/>
  <c r="I202" i="5" l="1"/>
  <c r="I204" i="5" s="1"/>
  <c r="J204" i="5"/>
  <c r="J206" i="5" s="1"/>
  <c r="J208" i="5" s="1"/>
  <c r="H204" i="5"/>
</calcChain>
</file>

<file path=xl/sharedStrings.xml><?xml version="1.0" encoding="utf-8"?>
<sst xmlns="http://schemas.openxmlformats.org/spreadsheetml/2006/main" count="75" uniqueCount="42">
  <si>
    <t>Student number:</t>
  </si>
  <si>
    <t>Interest rates</t>
  </si>
  <si>
    <r>
      <t xml:space="preserve">Age </t>
    </r>
    <r>
      <rPr>
        <b/>
        <i/>
        <sz val="12"/>
        <rFont val="Calibri"/>
        <family val="2"/>
        <scheme val="minor"/>
      </rPr>
      <t>x</t>
    </r>
  </si>
  <si>
    <r>
      <t>q</t>
    </r>
    <r>
      <rPr>
        <b/>
        <i/>
        <vertAlign val="subscript"/>
        <sz val="11"/>
        <rFont val="Calibri"/>
        <family val="2"/>
        <scheme val="minor"/>
      </rPr>
      <t>x</t>
    </r>
  </si>
  <si>
    <t>Time</t>
  </si>
  <si>
    <t>Name and surname:</t>
  </si>
  <si>
    <t>initial booster</t>
  </si>
  <si>
    <t>1st booster</t>
  </si>
  <si>
    <t>2nd booster</t>
  </si>
  <si>
    <t>fully vacinated</t>
  </si>
  <si>
    <t xml:space="preserve">Age (x) </t>
  </si>
  <si>
    <t xml:space="preserve"> Loading</t>
  </si>
  <si>
    <t>30-39</t>
  </si>
  <si>
    <t>40-49</t>
  </si>
  <si>
    <t>50-59</t>
  </si>
  <si>
    <t>60-69</t>
  </si>
  <si>
    <t>70-79</t>
  </si>
  <si>
    <t>80 and above</t>
  </si>
  <si>
    <t>Scenario 1 (Pre-COVID)</t>
  </si>
  <si>
    <t>Scenario 2 (Vaccination Adjusted)</t>
  </si>
  <si>
    <t>not fully vacinated</t>
  </si>
  <si>
    <t>Survival Probability for COVID-loaded Rates</t>
  </si>
  <si>
    <t>this is the curtate life expectancy of a life aged 35</t>
  </si>
  <si>
    <t>Survival Probability for scenario 1</t>
  </si>
  <si>
    <t>discount rates</t>
  </si>
  <si>
    <t>PV of Benefits</t>
  </si>
  <si>
    <t>PV of Renewal Expenses</t>
  </si>
  <si>
    <t>initial expense is R250</t>
  </si>
  <si>
    <t>pv of premiums</t>
  </si>
  <si>
    <t>where the probability of survival is approximately 0</t>
  </si>
  <si>
    <t>5.</t>
  </si>
  <si>
    <t>4.</t>
  </si>
  <si>
    <t>PV of Benefits scenario 1</t>
  </si>
  <si>
    <t>PV of Renewal Expenses scenario 1</t>
  </si>
  <si>
    <t>PV of Benefits scenario 2</t>
  </si>
  <si>
    <t>PV of Renewal Expenses scenario 2</t>
  </si>
  <si>
    <t>pv of premiums(scenario1)</t>
  </si>
  <si>
    <t>pv of premiums(scenario2)</t>
  </si>
  <si>
    <t>probability that a south african is  vaccinated</t>
  </si>
  <si>
    <t>P(fully vacinnated)</t>
  </si>
  <si>
    <t>P(not fully vacinated )</t>
  </si>
  <si>
    <t>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</si>
</sst>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.00000_);_(* \(#,##0.00000\);_(* &quot;-&quot;??_);_(@_)"/>
    <numFmt numFmtId="166" formatCode="_-* #,##0.00000_-;\-* #,##0.00000_-;_-* &quot;-&quot;???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sz val="1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vertAlign val="subscript"/>
      <sz val="11"/>
      <name val="Calibri"/>
      <family val="2"/>
      <scheme val="minor"/>
    </font>
    <font>
      <sz val="11"/>
      <color theme="0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0" borderId="11" applyNumberFormat="0" applyFill="0" applyAlignment="0" applyProtection="0"/>
  </cellStyleXfs>
  <cellXfs count="7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1" xfId="0" applyFont="1" applyBorder="1" applyAlignment="1">
      <alignment horizontal="center"/>
    </xf>
    <xf numFmtId="10" fontId="0" fillId="0" borderId="0" xfId="2" applyNumberFormat="1" applyFont="1"/>
    <xf numFmtId="10" fontId="0" fillId="0" borderId="0" xfId="2" applyNumberFormat="1" applyFont="1" applyBorder="1"/>
    <xf numFmtId="165" fontId="5" fillId="0" borderId="0" xfId="1" applyNumberFormat="1" applyFont="1"/>
    <xf numFmtId="0" fontId="6" fillId="3" borderId="8" xfId="3" applyFont="1" applyFill="1" applyBorder="1" applyAlignment="1">
      <alignment horizontal="center" vertical="center"/>
    </xf>
    <xf numFmtId="10" fontId="7" fillId="3" borderId="5" xfId="2" applyNumberFormat="1" applyFont="1" applyFill="1" applyBorder="1" applyAlignment="1">
      <alignment horizontal="center" vertical="center" wrapText="1"/>
    </xf>
    <xf numFmtId="0" fontId="8" fillId="3" borderId="9" xfId="3" applyFont="1" applyFill="1" applyBorder="1" applyAlignment="1">
      <alignment horizontal="center"/>
    </xf>
    <xf numFmtId="165" fontId="8" fillId="3" borderId="6" xfId="1" applyNumberFormat="1" applyFont="1" applyFill="1" applyBorder="1"/>
    <xf numFmtId="10" fontId="8" fillId="3" borderId="6" xfId="2" applyNumberFormat="1" applyFont="1" applyFill="1" applyBorder="1"/>
    <xf numFmtId="0" fontId="8" fillId="3" borderId="10" xfId="3" applyFont="1" applyFill="1" applyBorder="1" applyAlignment="1">
      <alignment horizontal="center"/>
    </xf>
    <xf numFmtId="10" fontId="8" fillId="3" borderId="7" xfId="2" applyNumberFormat="1" applyFont="1" applyFill="1" applyBorder="1"/>
    <xf numFmtId="0" fontId="8" fillId="3" borderId="0" xfId="3" applyFont="1" applyFill="1" applyAlignment="1">
      <alignment horizontal="center"/>
    </xf>
    <xf numFmtId="10" fontId="8" fillId="3" borderId="0" xfId="2" applyNumberFormat="1" applyFont="1" applyFill="1" applyBorder="1"/>
    <xf numFmtId="165" fontId="5" fillId="0" borderId="6" xfId="1" applyNumberFormat="1" applyFont="1" applyBorder="1"/>
    <xf numFmtId="165" fontId="5" fillId="0" borderId="7" xfId="1" applyNumberFormat="1" applyFont="1" applyBorder="1"/>
    <xf numFmtId="165" fontId="9" fillId="3" borderId="5" xfId="1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166" fontId="0" fillId="0" borderId="0" xfId="0" applyNumberFormat="1"/>
    <xf numFmtId="165" fontId="8" fillId="3" borderId="0" xfId="1" applyNumberFormat="1" applyFont="1" applyFill="1" applyBorder="1"/>
    <xf numFmtId="10" fontId="7" fillId="3" borderId="0" xfId="2" applyNumberFormat="1" applyFont="1" applyFill="1" applyBorder="1" applyAlignment="1">
      <alignment horizontal="center" vertical="center" wrapText="1"/>
    </xf>
    <xf numFmtId="0" fontId="0" fillId="0" borderId="6" xfId="0" applyBorder="1"/>
    <xf numFmtId="166" fontId="0" fillId="0" borderId="6" xfId="0" applyNumberFormat="1" applyBorder="1"/>
    <xf numFmtId="166" fontId="0" fillId="0" borderId="7" xfId="0" applyNumberFormat="1" applyBorder="1"/>
    <xf numFmtId="0" fontId="8" fillId="3" borderId="13" xfId="1" applyNumberFormat="1" applyFont="1" applyFill="1" applyBorder="1"/>
    <xf numFmtId="166" fontId="0" fillId="0" borderId="13" xfId="0" applyNumberFormat="1" applyBorder="1"/>
    <xf numFmtId="166" fontId="0" fillId="0" borderId="2" xfId="0" applyNumberFormat="1" applyBorder="1"/>
    <xf numFmtId="0" fontId="6" fillId="3" borderId="14" xfId="3" applyFont="1" applyFill="1" applyBorder="1" applyAlignment="1">
      <alignment horizontal="center" vertical="center"/>
    </xf>
    <xf numFmtId="165" fontId="9" fillId="3" borderId="15" xfId="1" applyNumberFormat="1" applyFont="1" applyFill="1" applyBorder="1" applyAlignment="1">
      <alignment horizontal="center" vertical="center"/>
    </xf>
    <xf numFmtId="10" fontId="7" fillId="3" borderId="16" xfId="2" applyNumberFormat="1" applyFont="1" applyFill="1" applyBorder="1" applyAlignment="1">
      <alignment horizontal="center" vertical="center" wrapText="1"/>
    </xf>
    <xf numFmtId="10" fontId="7" fillId="3" borderId="1" xfId="2" applyNumberFormat="1" applyFont="1" applyFill="1" applyBorder="1" applyAlignment="1">
      <alignment horizontal="center" vertical="center" wrapText="1"/>
    </xf>
    <xf numFmtId="10" fontId="7" fillId="3" borderId="15" xfId="2" applyNumberFormat="1" applyFont="1" applyFill="1" applyBorder="1" applyAlignment="1">
      <alignment horizontal="center" vertical="center" wrapText="1"/>
    </xf>
    <xf numFmtId="0" fontId="0" fillId="0" borderId="1" xfId="0" applyBorder="1"/>
    <xf numFmtId="10" fontId="8" fillId="3" borderId="13" xfId="2" applyNumberFormat="1" applyFont="1" applyFill="1" applyBorder="1"/>
    <xf numFmtId="10" fontId="8" fillId="3" borderId="2" xfId="2" applyNumberFormat="1" applyFont="1" applyFill="1" applyBorder="1"/>
    <xf numFmtId="0" fontId="0" fillId="0" borderId="12" xfId="0" applyBorder="1"/>
    <xf numFmtId="0" fontId="0" fillId="0" borderId="13" xfId="0" applyBorder="1"/>
    <xf numFmtId="0" fontId="0" fillId="0" borderId="2" xfId="0" applyBorder="1"/>
    <xf numFmtId="10" fontId="7" fillId="3" borderId="14" xfId="2" applyNumberFormat="1" applyFont="1" applyFill="1" applyBorder="1" applyAlignment="1">
      <alignment horizontal="center" vertical="center" wrapText="1"/>
    </xf>
    <xf numFmtId="166" fontId="0" fillId="0" borderId="12" xfId="0" applyNumberFormat="1" applyBorder="1"/>
    <xf numFmtId="0" fontId="6" fillId="3" borderId="1" xfId="3" applyFont="1" applyFill="1" applyBorder="1" applyAlignment="1">
      <alignment horizontal="center" vertical="center"/>
    </xf>
    <xf numFmtId="165" fontId="9" fillId="3" borderId="1" xfId="1" applyNumberFormat="1" applyFont="1" applyFill="1" applyBorder="1" applyAlignment="1">
      <alignment horizontal="center" vertical="center"/>
    </xf>
    <xf numFmtId="0" fontId="6" fillId="3" borderId="12" xfId="3" applyFont="1" applyFill="1" applyBorder="1" applyAlignment="1">
      <alignment horizontal="center" vertical="center"/>
    </xf>
    <xf numFmtId="0" fontId="8" fillId="3" borderId="5" xfId="3" applyFont="1" applyFill="1" applyBorder="1" applyAlignment="1">
      <alignment horizontal="center"/>
    </xf>
    <xf numFmtId="0" fontId="8" fillId="3" borderId="6" xfId="3" applyFont="1" applyFill="1" applyBorder="1" applyAlignment="1">
      <alignment horizontal="center"/>
    </xf>
    <xf numFmtId="0" fontId="8" fillId="3" borderId="7" xfId="3" applyFont="1" applyFill="1" applyBorder="1" applyAlignment="1">
      <alignment horizontal="center"/>
    </xf>
    <xf numFmtId="165" fontId="8" fillId="3" borderId="12" xfId="1" applyNumberFormat="1" applyFont="1" applyFill="1" applyBorder="1"/>
    <xf numFmtId="165" fontId="8" fillId="3" borderId="13" xfId="1" applyNumberFormat="1" applyFont="1" applyFill="1" applyBorder="1"/>
    <xf numFmtId="165" fontId="5" fillId="0" borderId="13" xfId="1" applyNumberFormat="1" applyFont="1" applyBorder="1"/>
    <xf numFmtId="165" fontId="5" fillId="0" borderId="2" xfId="1" applyNumberFormat="1" applyFont="1" applyBorder="1"/>
    <xf numFmtId="0" fontId="13" fillId="4" borderId="9" xfId="4" applyBorder="1" applyAlignment="1">
      <alignment horizontal="center"/>
    </xf>
    <xf numFmtId="165" fontId="13" fillId="4" borderId="6" xfId="4" applyNumberFormat="1" applyBorder="1"/>
    <xf numFmtId="166" fontId="13" fillId="4" borderId="0" xfId="4" applyNumberFormat="1"/>
    <xf numFmtId="0" fontId="13" fillId="4" borderId="13" xfId="4" applyNumberFormat="1" applyBorder="1"/>
    <xf numFmtId="0" fontId="13" fillId="4" borderId="6" xfId="4" applyNumberFormat="1" applyBorder="1"/>
    <xf numFmtId="166" fontId="15" fillId="0" borderId="11" xfId="6" applyNumberFormat="1"/>
    <xf numFmtId="0" fontId="15" fillId="0" borderId="11" xfId="6"/>
    <xf numFmtId="166" fontId="14" fillId="5" borderId="0" xfId="5" applyNumberFormat="1"/>
    <xf numFmtId="166" fontId="14" fillId="5" borderId="13" xfId="5" applyNumberFormat="1" applyBorder="1"/>
    <xf numFmtId="165" fontId="14" fillId="5" borderId="6" xfId="5" applyNumberFormat="1" applyBorder="1"/>
    <xf numFmtId="0" fontId="14" fillId="5" borderId="9" xfId="5" applyBorder="1" applyAlignment="1">
      <alignment horizontal="center"/>
    </xf>
  </cellXfs>
  <cellStyles count="7">
    <cellStyle name="Comma" xfId="1" builtinId="3"/>
    <cellStyle name="Good" xfId="4" builtinId="26"/>
    <cellStyle name="Neutral" xfId="5" builtinId="28"/>
    <cellStyle name="Normal" xfId="0" builtinId="0"/>
    <cellStyle name="Normal 2" xfId="3" xr:uid="{FA98AAFF-B840-4E3F-8FE4-0798B2F5B86D}"/>
    <cellStyle name="Percent" xfId="2" builtinId="5"/>
    <cellStyle name="Total" xfId="6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175759</xdr:colOff>
      <xdr:row>207</xdr:row>
      <xdr:rowOff>119061</xdr:rowOff>
    </xdr:from>
    <xdr:ext cx="2364241" cy="16458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937A941-C112-0BC6-DEA1-45B621CADEDB}"/>
                </a:ext>
              </a:extLst>
            </xdr:cNvPr>
            <xdr:cNvSpPr txBox="1"/>
          </xdr:nvSpPr>
          <xdr:spPr>
            <a:xfrm>
              <a:off x="15948038" y="39386340"/>
              <a:ext cx="2364241" cy="16458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ZA" sz="1100"/>
                <a:t>P=</a:t>
              </a:r>
              <a:r>
                <a:rPr lang="en-ZA" sz="1100" baseline="0"/>
                <a:t> P</a:t>
              </a:r>
              <a14:m>
                <m:oMath xmlns:m="http://schemas.openxmlformats.org/officeDocument/2006/math">
                  <m:r>
                    <a:rPr lang="en-ZA" sz="1100" b="0" i="1" baseline="0">
                      <a:latin typeface="Cambria Math" panose="02040503050406030204" pitchFamily="18" charset="0"/>
                    </a:rPr>
                    <m:t>𝑣</m:t>
                  </m:r>
                  <m:r>
                    <a:rPr lang="en-ZA" sz="1100" b="0" i="1" baseline="0">
                      <a:latin typeface="Cambria Math" panose="02040503050406030204" pitchFamily="18" charset="0"/>
                    </a:rPr>
                    <m:t> </m:t>
                  </m:r>
                  <m:r>
                    <a:rPr lang="en-ZA" sz="1100" b="0" i="1" baseline="0">
                      <a:latin typeface="Cambria Math" panose="02040503050406030204" pitchFamily="18" charset="0"/>
                    </a:rPr>
                    <m:t>𝑒𝑥𝑝𝑒𝑛𝑠𝑒𝑠</m:t>
                  </m:r>
                  <m:r>
                    <a:rPr lang="en-ZA" sz="1100" b="0" i="1" baseline="0">
                      <a:latin typeface="Cambria Math" panose="02040503050406030204" pitchFamily="18" charset="0"/>
                    </a:rPr>
                    <m:t>+</m:t>
                  </m:r>
                  <m:r>
                    <a:rPr lang="en-ZA" sz="1100" b="0" i="1" baseline="0">
                      <a:latin typeface="Cambria Math" panose="02040503050406030204" pitchFamily="18" charset="0"/>
                    </a:rPr>
                    <m:t>𝑃𝑣</m:t>
                  </m:r>
                  <m:r>
                    <a:rPr lang="en-ZA" sz="1100" b="0" i="1" baseline="0">
                      <a:latin typeface="Cambria Math" panose="02040503050406030204" pitchFamily="18" charset="0"/>
                    </a:rPr>
                    <m:t> </m:t>
                  </m:r>
                  <m:r>
                    <a:rPr lang="en-ZA" sz="1100" b="0" i="1" baseline="0">
                      <a:latin typeface="Cambria Math" panose="02040503050406030204" pitchFamily="18" charset="0"/>
                    </a:rPr>
                    <m:t>𝐵𝑒𝑛𝑒𝑓𝑖𝑡𝑠</m:t>
                  </m:r>
                </m:oMath>
              </a14:m>
              <a:endParaRPr lang="en-ZA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937A941-C112-0BC6-DEA1-45B621CADEDB}"/>
                </a:ext>
              </a:extLst>
            </xdr:cNvPr>
            <xdr:cNvSpPr txBox="1"/>
          </xdr:nvSpPr>
          <xdr:spPr>
            <a:xfrm>
              <a:off x="15948038" y="39386340"/>
              <a:ext cx="2364241" cy="16458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ZA" sz="1100"/>
                <a:t>P=</a:t>
              </a:r>
              <a:r>
                <a:rPr lang="en-ZA" sz="1100" baseline="0"/>
                <a:t> P</a:t>
              </a:r>
              <a:r>
                <a:rPr lang="en-ZA" sz="1100" b="0" i="0" baseline="0">
                  <a:latin typeface="Cambria Math" panose="02040503050406030204" pitchFamily="18" charset="0"/>
                </a:rPr>
                <a:t>𝑣 𝑒𝑥𝑝𝑒𝑛𝑠𝑒𝑠+𝑃𝑣 𝐵𝑒𝑛𝑒𝑓𝑖𝑡𝑠</a:t>
              </a:r>
              <a:endParaRPr lang="en-ZA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33BF1-976A-480C-B053-A6DF18028BE7}">
  <dimension ref="B2:D10"/>
  <sheetViews>
    <sheetView showGridLines="0" workbookViewId="0">
      <selection activeCell="B5" sqref="B5"/>
    </sheetView>
  </sheetViews>
  <sheetFormatPr defaultColWidth="9.08984375" defaultRowHeight="14.5" x14ac:dyDescent="0.35"/>
  <cols>
    <col min="1" max="1" width="9.08984375" style="1"/>
    <col min="2" max="2" width="6" style="2" customWidth="1"/>
    <col min="3" max="3" width="27.90625" style="1" customWidth="1"/>
    <col min="4" max="4" width="19.6328125" style="1" customWidth="1"/>
    <col min="5" max="16384" width="9.08984375" style="1"/>
  </cols>
  <sheetData>
    <row r="2" spans="2:4" x14ac:dyDescent="0.35">
      <c r="B2" s="1"/>
    </row>
    <row r="3" spans="2:4" s="23" customFormat="1" x14ac:dyDescent="0.35">
      <c r="B3" s="24"/>
      <c r="C3" s="25"/>
      <c r="D3" s="26"/>
    </row>
    <row r="4" spans="2:4" ht="15" thickBot="1" x14ac:dyDescent="0.4"/>
    <row r="5" spans="2:4" ht="15" thickBot="1" x14ac:dyDescent="0.4">
      <c r="C5" s="3" t="s">
        <v>5</v>
      </c>
      <c r="D5" s="4" t="s">
        <v>0</v>
      </c>
    </row>
    <row r="6" spans="2:4" x14ac:dyDescent="0.35">
      <c r="B6" s="5">
        <v>1</v>
      </c>
      <c r="C6" s="21"/>
      <c r="D6" s="21"/>
    </row>
    <row r="7" spans="2:4" x14ac:dyDescent="0.35">
      <c r="B7" s="5">
        <v>2</v>
      </c>
      <c r="C7" s="22"/>
      <c r="D7" s="22"/>
    </row>
    <row r="8" spans="2:4" x14ac:dyDescent="0.35">
      <c r="B8" s="5">
        <v>3</v>
      </c>
      <c r="C8" s="22"/>
      <c r="D8" s="22"/>
    </row>
    <row r="9" spans="2:4" x14ac:dyDescent="0.35">
      <c r="B9" s="5">
        <v>4</v>
      </c>
      <c r="C9" s="22"/>
      <c r="D9" s="22"/>
    </row>
    <row r="10" spans="2:4" x14ac:dyDescent="0.35">
      <c r="B10" s="5">
        <v>5</v>
      </c>
      <c r="C10" s="22"/>
      <c r="D10" s="2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DFB8F-9F47-43AC-9409-814722848ED7}">
  <dimension ref="B1:O107"/>
  <sheetViews>
    <sheetView showGridLines="0" topLeftCell="F3" zoomScale="135" workbookViewId="0">
      <selection activeCell="N9" sqref="N9"/>
    </sheetView>
  </sheetViews>
  <sheetFormatPr defaultRowHeight="14.5" x14ac:dyDescent="0.35"/>
  <cols>
    <col min="2" max="2" width="9.08984375"/>
    <col min="3" max="3" width="9.08984375" style="8"/>
    <col min="4" max="5" width="9.08984375"/>
    <col min="6" max="6" width="9.08984375" style="7"/>
    <col min="11" max="11" width="12.90625" bestFit="1" customWidth="1"/>
    <col min="14" max="14" width="16.1796875" bestFit="1" customWidth="1"/>
  </cols>
  <sheetData>
    <row r="1" spans="2:15" x14ac:dyDescent="0.35">
      <c r="F1" s="6"/>
    </row>
    <row r="2" spans="2:15" x14ac:dyDescent="0.35">
      <c r="F2" s="6"/>
    </row>
    <row r="3" spans="2:15" ht="31" x14ac:dyDescent="0.35">
      <c r="B3" s="9" t="s">
        <v>2</v>
      </c>
      <c r="C3" s="20" t="s">
        <v>3</v>
      </c>
      <c r="E3" s="9" t="s">
        <v>4</v>
      </c>
      <c r="F3" s="10" t="s">
        <v>1</v>
      </c>
      <c r="L3" t="s">
        <v>38</v>
      </c>
    </row>
    <row r="4" spans="2:15" x14ac:dyDescent="0.35">
      <c r="B4" s="11">
        <v>17</v>
      </c>
      <c r="C4" s="12">
        <v>3.0200000000000001E-3</v>
      </c>
      <c r="E4" s="11">
        <v>0</v>
      </c>
      <c r="F4" s="13"/>
    </row>
    <row r="5" spans="2:15" x14ac:dyDescent="0.35">
      <c r="B5" s="11">
        <v>18</v>
      </c>
      <c r="C5" s="12">
        <v>2.8300000000000001E-3</v>
      </c>
      <c r="E5" s="11">
        <v>1</v>
      </c>
      <c r="F5" s="13">
        <v>6.841045886020182E-2</v>
      </c>
      <c r="K5" s="41" t="s">
        <v>6</v>
      </c>
      <c r="L5" s="41">
        <f xml:space="preserve"> 0.6 +0.08</f>
        <v>0.67999999999999994</v>
      </c>
    </row>
    <row r="6" spans="2:15" x14ac:dyDescent="0.35">
      <c r="B6" s="11">
        <v>19</v>
      </c>
      <c r="C6" s="12">
        <v>2.66E-3</v>
      </c>
      <c r="E6" s="11">
        <v>2</v>
      </c>
      <c r="F6" s="13">
        <v>7.1080220695181801E-2</v>
      </c>
      <c r="K6" s="41" t="s">
        <v>7</v>
      </c>
      <c r="L6" s="41">
        <f>0.4+0.125</f>
        <v>0.52500000000000002</v>
      </c>
    </row>
    <row r="7" spans="2:15" x14ac:dyDescent="0.35">
      <c r="B7" s="11">
        <v>20</v>
      </c>
      <c r="C7" s="12">
        <v>2.5100000000000001E-3</v>
      </c>
      <c r="E7" s="11">
        <v>3</v>
      </c>
      <c r="F7" s="13">
        <v>7.3590835750312417E-2</v>
      </c>
      <c r="K7" s="41" t="s">
        <v>8</v>
      </c>
      <c r="L7" s="41">
        <f>0.25</f>
        <v>0.25</v>
      </c>
    </row>
    <row r="8" spans="2:15" x14ac:dyDescent="0.35">
      <c r="B8" s="11">
        <v>21</v>
      </c>
      <c r="C8" s="12">
        <v>2.3900000000000002E-3</v>
      </c>
      <c r="E8" s="11">
        <v>4</v>
      </c>
      <c r="F8" s="13">
        <v>7.5960215083255178E-2</v>
      </c>
      <c r="K8" s="41"/>
      <c r="L8" s="41"/>
    </row>
    <row r="9" spans="2:15" x14ac:dyDescent="0.35">
      <c r="B9" s="11">
        <v>22</v>
      </c>
      <c r="C9" s="12">
        <v>2.2799999999999999E-3</v>
      </c>
      <c r="E9" s="11">
        <v>5</v>
      </c>
      <c r="F9" s="13">
        <v>7.8203406479932749E-2</v>
      </c>
      <c r="K9" s="41" t="s">
        <v>9</v>
      </c>
      <c r="L9" s="41">
        <f>L5*L6*L7</f>
        <v>8.9249999999999996E-2</v>
      </c>
      <c r="N9" t="s">
        <v>20</v>
      </c>
      <c r="O9">
        <f>1-L9</f>
        <v>0.91074999999999995</v>
      </c>
    </row>
    <row r="10" spans="2:15" x14ac:dyDescent="0.35">
      <c r="B10" s="11">
        <v>23</v>
      </c>
      <c r="C10" s="12">
        <v>2.2000000000000001E-3</v>
      </c>
      <c r="E10" s="11">
        <v>6</v>
      </c>
      <c r="F10" s="13">
        <v>8.0333174001062824E-2</v>
      </c>
    </row>
    <row r="11" spans="2:15" x14ac:dyDescent="0.35">
      <c r="B11" s="11">
        <v>24</v>
      </c>
      <c r="C11" s="12">
        <v>2.1299999999999999E-3</v>
      </c>
      <c r="E11" s="11">
        <v>7</v>
      </c>
      <c r="F11" s="13">
        <v>8.2360437933803918E-2</v>
      </c>
    </row>
    <row r="12" spans="2:15" x14ac:dyDescent="0.35">
      <c r="B12" s="11">
        <v>25</v>
      </c>
      <c r="C12" s="12">
        <v>2.0799999999999998E-3</v>
      </c>
      <c r="E12" s="11">
        <v>8</v>
      </c>
      <c r="F12" s="13">
        <v>8.4294613649744721E-2</v>
      </c>
    </row>
    <row r="13" spans="2:15" x14ac:dyDescent="0.35">
      <c r="B13" s="11">
        <v>26</v>
      </c>
      <c r="C13" s="12">
        <v>2.0500000000000002E-3</v>
      </c>
      <c r="E13" s="11">
        <v>9</v>
      </c>
      <c r="F13" s="13">
        <v>8.6143876024310617E-2</v>
      </c>
    </row>
    <row r="14" spans="2:15" x14ac:dyDescent="0.35">
      <c r="B14" s="11">
        <v>27</v>
      </c>
      <c r="C14" s="12">
        <v>2.0400000000000001E-3</v>
      </c>
      <c r="E14" s="11">
        <v>10</v>
      </c>
      <c r="F14" s="13">
        <v>8.7915368217249254E-2</v>
      </c>
    </row>
    <row r="15" spans="2:15" x14ac:dyDescent="0.35">
      <c r="B15" s="11">
        <v>28</v>
      </c>
      <c r="C15" s="12">
        <v>2.0500000000000002E-3</v>
      </c>
      <c r="E15" s="11">
        <v>11</v>
      </c>
      <c r="F15" s="13">
        <v>8.9615368297657122E-2</v>
      </c>
    </row>
    <row r="16" spans="2:15" x14ac:dyDescent="0.35">
      <c r="B16" s="11">
        <v>29</v>
      </c>
      <c r="C16" s="12">
        <v>2.0799999999999998E-3</v>
      </c>
      <c r="E16" s="11">
        <v>12</v>
      </c>
      <c r="F16" s="13">
        <v>9.1249423532388269E-2</v>
      </c>
    </row>
    <row r="17" spans="2:6" x14ac:dyDescent="0.35">
      <c r="B17" s="11">
        <v>30</v>
      </c>
      <c r="C17" s="12">
        <v>2.1199999999999999E-3</v>
      </c>
      <c r="E17" s="11">
        <v>13</v>
      </c>
      <c r="F17" s="13">
        <v>9.2822459587926218E-2</v>
      </c>
    </row>
    <row r="18" spans="2:6" x14ac:dyDescent="0.35">
      <c r="B18" s="11">
        <v>31</v>
      </c>
      <c r="C18" s="12">
        <v>2.1700000000000001E-3</v>
      </c>
      <c r="E18" s="11">
        <v>14</v>
      </c>
      <c r="F18" s="13">
        <v>9.4338870067482483E-2</v>
      </c>
    </row>
    <row r="19" spans="2:6" x14ac:dyDescent="0.35">
      <c r="B19" s="11">
        <v>32</v>
      </c>
      <c r="C19" s="12">
        <v>2.2499999999999998E-3</v>
      </c>
      <c r="E19" s="11">
        <v>15</v>
      </c>
      <c r="F19" s="13">
        <v>9.5802590485422848E-2</v>
      </c>
    </row>
    <row r="20" spans="2:6" x14ac:dyDescent="0.35">
      <c r="B20" s="11">
        <v>33</v>
      </c>
      <c r="C20" s="12">
        <v>2.33E-3</v>
      </c>
      <c r="E20" s="11">
        <v>16</v>
      </c>
      <c r="F20" s="13">
        <v>9.7217159816253604E-2</v>
      </c>
    </row>
    <row r="21" spans="2:6" x14ac:dyDescent="0.35">
      <c r="B21" s="11">
        <v>34</v>
      </c>
      <c r="C21" s="12">
        <v>2.4399999999999999E-3</v>
      </c>
      <c r="E21" s="11">
        <v>17</v>
      </c>
      <c r="F21" s="13">
        <v>9.8585772041490896E-2</v>
      </c>
    </row>
    <row r="22" spans="2:6" x14ac:dyDescent="0.35">
      <c r="B22" s="11">
        <v>35</v>
      </c>
      <c r="C22" s="12">
        <v>2.5600000000000002E-3</v>
      </c>
      <c r="E22" s="11">
        <v>18</v>
      </c>
      <c r="F22" s="13">
        <v>9.9911319583663116E-2</v>
      </c>
    </row>
    <row r="23" spans="2:6" x14ac:dyDescent="0.35">
      <c r="B23" s="11">
        <v>36</v>
      </c>
      <c r="C23" s="12">
        <v>2.7200000000000002E-3</v>
      </c>
      <c r="E23" s="11">
        <v>19</v>
      </c>
      <c r="F23" s="13">
        <v>0.10119643011304469</v>
      </c>
    </row>
    <row r="24" spans="2:6" x14ac:dyDescent="0.35">
      <c r="B24" s="11">
        <v>37</v>
      </c>
      <c r="C24" s="12">
        <v>2.8600000000000001E-3</v>
      </c>
      <c r="E24" s="11">
        <v>20</v>
      </c>
      <c r="F24" s="13">
        <v>0.10244349790471981</v>
      </c>
    </row>
    <row r="25" spans="2:6" x14ac:dyDescent="0.35">
      <c r="B25" s="11">
        <v>38</v>
      </c>
      <c r="C25" s="12">
        <v>3.0400000000000002E-3</v>
      </c>
      <c r="E25" s="11">
        <v>21</v>
      </c>
      <c r="F25" s="13">
        <v>0.10365471068645839</v>
      </c>
    </row>
    <row r="26" spans="2:6" x14ac:dyDescent="0.35">
      <c r="B26" s="11">
        <v>39</v>
      </c>
      <c r="C26" s="12">
        <v>3.2499999999999999E-3</v>
      </c>
      <c r="E26" s="11">
        <v>22</v>
      </c>
      <c r="F26" s="13">
        <v>0.10483207273381266</v>
      </c>
    </row>
    <row r="27" spans="2:6" x14ac:dyDescent="0.35">
      <c r="B27" s="11">
        <v>40</v>
      </c>
      <c r="C27" s="12">
        <v>3.5000000000000001E-3</v>
      </c>
      <c r="E27" s="11">
        <v>23</v>
      </c>
      <c r="F27" s="13">
        <v>0.1059774248248268</v>
      </c>
    </row>
    <row r="28" spans="2:6" x14ac:dyDescent="0.35">
      <c r="B28" s="11">
        <v>41</v>
      </c>
      <c r="C28" s="12">
        <v>3.7699999999999999E-3</v>
      </c>
      <c r="E28" s="11">
        <v>24</v>
      </c>
      <c r="F28" s="13">
        <v>0.10709246155324412</v>
      </c>
    </row>
    <row r="29" spans="2:6" x14ac:dyDescent="0.35">
      <c r="B29" s="11">
        <v>42</v>
      </c>
      <c r="C29" s="12">
        <v>4.0800000000000003E-3</v>
      </c>
      <c r="E29" s="11">
        <v>25</v>
      </c>
      <c r="F29" s="13">
        <v>0.10817874640901437</v>
      </c>
    </row>
    <row r="30" spans="2:6" x14ac:dyDescent="0.35">
      <c r="B30" s="11">
        <v>43</v>
      </c>
      <c r="C30" s="12">
        <v>4.4299999999999999E-3</v>
      </c>
      <c r="E30" s="11">
        <v>26</v>
      </c>
      <c r="F30" s="13">
        <v>0.10923772496294443</v>
      </c>
    </row>
    <row r="31" spans="2:6" x14ac:dyDescent="0.35">
      <c r="B31" s="11">
        <v>44</v>
      </c>
      <c r="C31" s="12">
        <v>4.8199999999999996E-3</v>
      </c>
      <c r="E31" s="11">
        <v>27</v>
      </c>
      <c r="F31" s="13">
        <v>0.11027073643449847</v>
      </c>
    </row>
    <row r="32" spans="2:6" x14ac:dyDescent="0.35">
      <c r="B32" s="11">
        <v>45</v>
      </c>
      <c r="C32" s="12">
        <v>5.2599999999999999E-3</v>
      </c>
      <c r="E32" s="11">
        <v>28</v>
      </c>
      <c r="F32" s="13">
        <v>0.11127902387499437</v>
      </c>
    </row>
    <row r="33" spans="2:6" x14ac:dyDescent="0.35">
      <c r="B33" s="11">
        <v>46</v>
      </c>
      <c r="C33" s="12">
        <v>5.7400000000000003E-3</v>
      </c>
      <c r="E33" s="11">
        <v>29</v>
      </c>
      <c r="F33" s="13">
        <v>0.11226374316043143</v>
      </c>
    </row>
    <row r="34" spans="2:6" x14ac:dyDescent="0.35">
      <c r="B34" s="11">
        <v>47</v>
      </c>
      <c r="C34" s="12">
        <v>6.28E-3</v>
      </c>
      <c r="E34" s="11">
        <v>30</v>
      </c>
      <c r="F34" s="13">
        <v>0.11322597095712007</v>
      </c>
    </row>
    <row r="35" spans="2:6" x14ac:dyDescent="0.35">
      <c r="B35" s="11">
        <v>48</v>
      </c>
      <c r="C35" s="12">
        <v>6.8599999999999998E-3</v>
      </c>
      <c r="E35" s="11">
        <v>31</v>
      </c>
      <c r="F35" s="13">
        <v>0.11416671179777155</v>
      </c>
    </row>
    <row r="36" spans="2:6" x14ac:dyDescent="0.35">
      <c r="B36" s="11">
        <v>49</v>
      </c>
      <c r="C36" s="12">
        <v>7.4999999999999997E-3</v>
      </c>
      <c r="E36" s="11">
        <v>32</v>
      </c>
      <c r="F36" s="13">
        <v>0.11508690438465255</v>
      </c>
    </row>
    <row r="37" spans="2:6" x14ac:dyDescent="0.35">
      <c r="B37" s="11">
        <v>50</v>
      </c>
      <c r="C37" s="12">
        <v>8.2000000000000007E-3</v>
      </c>
      <c r="E37" s="11">
        <v>33</v>
      </c>
      <c r="F37" s="13">
        <v>0.11598742721895737</v>
      </c>
    </row>
    <row r="38" spans="2:6" x14ac:dyDescent="0.35">
      <c r="B38" s="11">
        <v>51</v>
      </c>
      <c r="C38" s="12">
        <v>8.9599999999999992E-3</v>
      </c>
      <c r="E38" s="11">
        <v>34</v>
      </c>
      <c r="F38" s="13">
        <v>0.11686910364102129</v>
      </c>
    </row>
    <row r="39" spans="2:6" x14ac:dyDescent="0.35">
      <c r="B39" s="11">
        <v>52</v>
      </c>
      <c r="C39" s="12">
        <v>9.7900000000000001E-3</v>
      </c>
      <c r="E39" s="11">
        <v>35</v>
      </c>
      <c r="F39" s="13">
        <v>0.1177327063538529</v>
      </c>
    </row>
    <row r="40" spans="2:6" x14ac:dyDescent="0.35">
      <c r="B40" s="11">
        <v>53</v>
      </c>
      <c r="C40" s="12">
        <v>1.0699999999999999E-2</v>
      </c>
      <c r="E40" s="11">
        <v>36</v>
      </c>
      <c r="F40" s="13">
        <v>0.11857896149226954</v>
      </c>
    </row>
    <row r="41" spans="2:6" x14ac:dyDescent="0.35">
      <c r="B41" s="11">
        <v>54</v>
      </c>
      <c r="C41" s="12">
        <v>1.17E-2</v>
      </c>
      <c r="E41" s="11">
        <v>37</v>
      </c>
      <c r="F41" s="13">
        <v>0.1194085522913329</v>
      </c>
    </row>
    <row r="42" spans="2:6" x14ac:dyDescent="0.35">
      <c r="B42" s="11">
        <v>55</v>
      </c>
      <c r="C42" s="12">
        <v>1.2800000000000001E-2</v>
      </c>
      <c r="E42" s="11">
        <v>38</v>
      </c>
      <c r="F42" s="13">
        <v>0.12022212240052127</v>
      </c>
    </row>
    <row r="43" spans="2:6" x14ac:dyDescent="0.35">
      <c r="B43" s="11">
        <v>56</v>
      </c>
      <c r="C43" s="12">
        <v>1.401E-2</v>
      </c>
      <c r="E43" s="11">
        <v>39</v>
      </c>
      <c r="F43" s="13">
        <v>0.12102027888391569</v>
      </c>
    </row>
    <row r="44" spans="2:6" x14ac:dyDescent="0.35">
      <c r="B44" s="11">
        <v>57</v>
      </c>
      <c r="C44" s="12">
        <v>1.536E-2</v>
      </c>
      <c r="E44" s="11">
        <v>40</v>
      </c>
      <c r="F44" s="13">
        <v>0.1218035949414335</v>
      </c>
    </row>
    <row r="45" spans="2:6" x14ac:dyDescent="0.35">
      <c r="B45" s="11">
        <v>58</v>
      </c>
      <c r="C45" s="12">
        <v>1.6840000000000001E-2</v>
      </c>
      <c r="E45" s="11">
        <v>41</v>
      </c>
      <c r="F45" s="13">
        <v>0.12257261238166642</v>
      </c>
    </row>
    <row r="46" spans="2:6" x14ac:dyDescent="0.35">
      <c r="B46" s="11">
        <v>59</v>
      </c>
      <c r="C46" s="12">
        <v>1.847E-2</v>
      </c>
      <c r="E46" s="11">
        <v>42</v>
      </c>
      <c r="F46" s="13">
        <v>0.12332784387304367</v>
      </c>
    </row>
    <row r="47" spans="2:6" x14ac:dyDescent="0.35">
      <c r="B47" s="11">
        <v>60</v>
      </c>
      <c r="C47" s="12">
        <v>2.027E-2</v>
      </c>
      <c r="E47" s="11">
        <v>43</v>
      </c>
      <c r="F47" s="13">
        <v>0.12406977499674747</v>
      </c>
    </row>
    <row r="48" spans="2:6" x14ac:dyDescent="0.35">
      <c r="B48" s="11">
        <v>61</v>
      </c>
      <c r="C48" s="12">
        <v>2.2239999999999999E-2</v>
      </c>
      <c r="E48" s="11">
        <v>44</v>
      </c>
      <c r="F48" s="13">
        <v>0.12479886612196904</v>
      </c>
    </row>
    <row r="49" spans="2:6" x14ac:dyDescent="0.35">
      <c r="B49" s="11">
        <v>62</v>
      </c>
      <c r="C49" s="12">
        <v>2.4400000000000002E-2</v>
      </c>
      <c r="E49" s="11">
        <v>45</v>
      </c>
      <c r="F49" s="13">
        <v>0.12551555412164103</v>
      </c>
    </row>
    <row r="50" spans="2:6" x14ac:dyDescent="0.35">
      <c r="B50" s="11">
        <v>63</v>
      </c>
      <c r="C50" s="12">
        <v>2.6749999999999999E-2</v>
      </c>
      <c r="E50" s="11">
        <v>46</v>
      </c>
      <c r="F50" s="13">
        <v>0.12622025394465891</v>
      </c>
    </row>
    <row r="51" spans="2:6" x14ac:dyDescent="0.35">
      <c r="B51" s="11">
        <v>64</v>
      </c>
      <c r="C51" s="12">
        <v>2.9319999999999999E-2</v>
      </c>
      <c r="E51" s="11">
        <v>47</v>
      </c>
      <c r="F51" s="13">
        <v>0.12691336005875908</v>
      </c>
    </row>
    <row r="52" spans="2:6" x14ac:dyDescent="0.35">
      <c r="B52" s="11">
        <v>65</v>
      </c>
      <c r="C52" s="12">
        <v>3.211E-2</v>
      </c>
      <c r="E52" s="11">
        <v>48</v>
      </c>
      <c r="F52" s="13">
        <v>0.12759524777661654</v>
      </c>
    </row>
    <row r="53" spans="2:6" x14ac:dyDescent="0.35">
      <c r="B53" s="11">
        <v>66</v>
      </c>
      <c r="C53" s="12">
        <v>3.5130000000000002E-2</v>
      </c>
      <c r="E53" s="11">
        <v>49</v>
      </c>
      <c r="F53" s="13">
        <v>0.12826627447632327</v>
      </c>
    </row>
    <row r="54" spans="2:6" x14ac:dyDescent="0.35">
      <c r="B54" s="11">
        <v>67</v>
      </c>
      <c r="C54" s="12">
        <v>3.8399999999999997E-2</v>
      </c>
      <c r="E54" s="11">
        <v>50</v>
      </c>
      <c r="F54" s="13">
        <v>0.12892678072618444</v>
      </c>
    </row>
    <row r="55" spans="2:6" x14ac:dyDescent="0.35">
      <c r="B55" s="11">
        <v>68</v>
      </c>
      <c r="C55" s="12">
        <v>4.1919999999999999E-2</v>
      </c>
      <c r="E55" s="11">
        <v>51</v>
      </c>
      <c r="F55" s="13">
        <v>0.12957709132269454</v>
      </c>
    </row>
    <row r="56" spans="2:6" x14ac:dyDescent="0.35">
      <c r="B56" s="11">
        <v>69</v>
      </c>
      <c r="C56" s="12">
        <v>4.5719999999999997E-2</v>
      </c>
      <c r="E56" s="11">
        <v>52</v>
      </c>
      <c r="F56" s="13">
        <v>0.13021751624961386</v>
      </c>
    </row>
    <row r="57" spans="2:6" x14ac:dyDescent="0.35">
      <c r="B57" s="11">
        <v>70</v>
      </c>
      <c r="C57" s="12">
        <v>4.9799999999999997E-2</v>
      </c>
      <c r="E57" s="11">
        <v>53</v>
      </c>
      <c r="F57" s="13">
        <v>0.13084835156523339</v>
      </c>
    </row>
    <row r="58" spans="2:6" x14ac:dyDescent="0.35">
      <c r="B58" s="11">
        <v>71</v>
      </c>
      <c r="C58" s="12">
        <v>5.4190000000000002E-2</v>
      </c>
      <c r="E58" s="11">
        <v>54</v>
      </c>
      <c r="F58" s="13">
        <v>0.13146988022418676</v>
      </c>
    </row>
    <row r="59" spans="2:6" x14ac:dyDescent="0.35">
      <c r="B59" s="11">
        <v>72</v>
      </c>
      <c r="C59" s="12">
        <v>5.8939999999999999E-2</v>
      </c>
      <c r="E59" s="11">
        <v>55</v>
      </c>
      <c r="F59" s="13">
        <v>0.13208237283951788</v>
      </c>
    </row>
    <row r="60" spans="2:6" x14ac:dyDescent="0.35">
      <c r="B60" s="11">
        <v>73</v>
      </c>
      <c r="C60" s="12">
        <v>6.411E-2</v>
      </c>
      <c r="E60" s="11">
        <v>56</v>
      </c>
      <c r="F60" s="13">
        <v>0.13268608839014268</v>
      </c>
    </row>
    <row r="61" spans="2:6" x14ac:dyDescent="0.35">
      <c r="B61" s="11">
        <v>74</v>
      </c>
      <c r="C61" s="12">
        <v>6.9739999999999996E-2</v>
      </c>
      <c r="E61" s="11">
        <v>57</v>
      </c>
      <c r="F61" s="13">
        <v>0.13328127487833322</v>
      </c>
    </row>
    <row r="62" spans="2:6" x14ac:dyDescent="0.35">
      <c r="B62" s="11">
        <v>75</v>
      </c>
      <c r="C62" s="12">
        <v>7.5880000000000003E-2</v>
      </c>
      <c r="E62" s="11">
        <v>58</v>
      </c>
      <c r="F62" s="13">
        <v>0.13386816994140266</v>
      </c>
    </row>
    <row r="63" spans="2:6" x14ac:dyDescent="0.35">
      <c r="B63" s="11">
        <v>76</v>
      </c>
      <c r="C63" s="12">
        <v>8.2589999999999997E-2</v>
      </c>
      <c r="E63" s="11">
        <v>59</v>
      </c>
      <c r="F63" s="13">
        <v>0.13444700142136623</v>
      </c>
    </row>
    <row r="64" spans="2:6" x14ac:dyDescent="0.35">
      <c r="B64" s="11">
        <v>77</v>
      </c>
      <c r="C64" s="12">
        <v>8.992E-2</v>
      </c>
      <c r="E64" s="11">
        <v>60</v>
      </c>
      <c r="F64" s="13">
        <v>0.13501798789599639</v>
      </c>
    </row>
    <row r="65" spans="2:6" x14ac:dyDescent="0.35">
      <c r="B65" s="11">
        <v>78</v>
      </c>
      <c r="C65" s="12">
        <v>9.7919999999999993E-2</v>
      </c>
      <c r="E65" s="11">
        <v>61</v>
      </c>
      <c r="F65" s="13">
        <v>0.13558133917436932</v>
      </c>
    </row>
    <row r="66" spans="2:6" x14ac:dyDescent="0.35">
      <c r="B66" s="11">
        <v>79</v>
      </c>
      <c r="C66" s="12">
        <v>0.10664</v>
      </c>
      <c r="E66" s="11">
        <v>62</v>
      </c>
      <c r="F66" s="13">
        <v>0.13613725675971472</v>
      </c>
    </row>
    <row r="67" spans="2:6" x14ac:dyDescent="0.35">
      <c r="B67" s="11">
        <v>80</v>
      </c>
      <c r="C67" s="12">
        <v>0.11613</v>
      </c>
      <c r="E67" s="11">
        <v>63</v>
      </c>
      <c r="F67" s="13">
        <v>0.13668593428212397</v>
      </c>
    </row>
    <row r="68" spans="2:6" x14ac:dyDescent="0.35">
      <c r="B68" s="11">
        <v>81</v>
      </c>
      <c r="C68" s="12">
        <v>0.12645000000000001</v>
      </c>
      <c r="E68" s="11">
        <v>64</v>
      </c>
      <c r="F68" s="13">
        <v>0.1372275579034416</v>
      </c>
    </row>
    <row r="69" spans="2:6" x14ac:dyDescent="0.35">
      <c r="B69" s="11">
        <v>82</v>
      </c>
      <c r="C69" s="12">
        <v>0.13764000000000001</v>
      </c>
      <c r="E69" s="11">
        <v>65</v>
      </c>
      <c r="F69" s="13">
        <v>0.137762306696459</v>
      </c>
    </row>
    <row r="70" spans="2:6" x14ac:dyDescent="0.35">
      <c r="B70" s="11">
        <v>83</v>
      </c>
      <c r="C70" s="12">
        <v>0.14976</v>
      </c>
      <c r="E70" s="11">
        <v>66</v>
      </c>
      <c r="F70" s="13">
        <v>0.13829035300034292</v>
      </c>
    </row>
    <row r="71" spans="2:6" x14ac:dyDescent="0.35">
      <c r="B71" s="11">
        <v>84</v>
      </c>
      <c r="C71" s="12">
        <v>0.16286</v>
      </c>
      <c r="E71" s="11">
        <v>67</v>
      </c>
      <c r="F71" s="13">
        <v>0.13881186275406404</v>
      </c>
    </row>
    <row r="72" spans="2:6" x14ac:dyDescent="0.35">
      <c r="B72" s="11">
        <v>85</v>
      </c>
      <c r="C72" s="12">
        <v>0.17699000000000001</v>
      </c>
      <c r="E72" s="11">
        <v>68</v>
      </c>
      <c r="F72" s="13">
        <v>0.13932699580943961</v>
      </c>
    </row>
    <row r="73" spans="2:6" x14ac:dyDescent="0.35">
      <c r="B73" s="11">
        <v>86</v>
      </c>
      <c r="C73" s="12">
        <v>0.19220000000000001</v>
      </c>
      <c r="E73" s="11">
        <v>69</v>
      </c>
      <c r="F73" s="13">
        <v>0.13983590622526795</v>
      </c>
    </row>
    <row r="74" spans="2:6" x14ac:dyDescent="0.35">
      <c r="B74" s="11">
        <v>87</v>
      </c>
      <c r="C74" s="12">
        <v>0.20841999999999999</v>
      </c>
      <c r="E74" s="11">
        <v>70</v>
      </c>
      <c r="F74" s="13">
        <v>0.1403387425439088</v>
      </c>
    </row>
    <row r="75" spans="2:6" x14ac:dyDescent="0.35">
      <c r="B75" s="11">
        <v>88</v>
      </c>
      <c r="C75" s="12">
        <v>0.2258</v>
      </c>
      <c r="E75" s="11">
        <v>71</v>
      </c>
      <c r="F75" s="13">
        <v>0.14083564805155205</v>
      </c>
    </row>
    <row r="76" spans="2:6" x14ac:dyDescent="0.35">
      <c r="B76" s="11">
        <v>89</v>
      </c>
      <c r="C76" s="12">
        <v>0.24440000000000001</v>
      </c>
      <c r="E76" s="11">
        <v>72</v>
      </c>
      <c r="F76" s="13">
        <v>0.14132676102331548</v>
      </c>
    </row>
    <row r="77" spans="2:6" x14ac:dyDescent="0.35">
      <c r="B77" s="11">
        <v>90</v>
      </c>
      <c r="C77" s="12">
        <v>0.26424999999999998</v>
      </c>
      <c r="E77" s="11">
        <v>73</v>
      </c>
      <c r="F77" s="13">
        <v>0.14181221495422103</v>
      </c>
    </row>
    <row r="78" spans="2:6" x14ac:dyDescent="0.35">
      <c r="B78" s="11">
        <v>91</v>
      </c>
      <c r="C78" s="12">
        <v>0.28538000000000002</v>
      </c>
      <c r="E78" s="11">
        <v>74</v>
      </c>
      <c r="F78" s="13">
        <v>0.14229213877701422</v>
      </c>
    </row>
    <row r="79" spans="2:6" x14ac:dyDescent="0.35">
      <c r="B79" s="11">
        <v>92</v>
      </c>
      <c r="C79" s="12">
        <v>0.30784</v>
      </c>
      <c r="E79" s="11">
        <v>75</v>
      </c>
      <c r="F79" s="13">
        <v>0.1427666570677163</v>
      </c>
    </row>
    <row r="80" spans="2:6" x14ac:dyDescent="0.35">
      <c r="B80" s="11">
        <v>93</v>
      </c>
      <c r="C80" s="12">
        <v>0.33161000000000002</v>
      </c>
      <c r="E80" s="11">
        <v>76</v>
      </c>
      <c r="F80" s="13">
        <v>0.14323589023972882</v>
      </c>
    </row>
    <row r="81" spans="2:6" x14ac:dyDescent="0.35">
      <c r="B81" s="11">
        <v>94</v>
      </c>
      <c r="C81" s="12">
        <v>0.35671000000000003</v>
      </c>
      <c r="E81" s="11">
        <v>77</v>
      </c>
      <c r="F81" s="13">
        <v>0.14369995472724725</v>
      </c>
    </row>
    <row r="82" spans="2:6" x14ac:dyDescent="0.35">
      <c r="B82" s="11">
        <v>95</v>
      </c>
      <c r="C82" s="12">
        <v>0.38311000000000001</v>
      </c>
      <c r="E82" s="11">
        <v>78</v>
      </c>
      <c r="F82" s="13">
        <v>0.14415896315868273</v>
      </c>
    </row>
    <row r="83" spans="2:6" x14ac:dyDescent="0.35">
      <c r="B83" s="11">
        <v>96</v>
      </c>
      <c r="C83" s="12">
        <v>0.41077999999999998</v>
      </c>
      <c r="E83" s="11">
        <v>79</v>
      </c>
      <c r="F83" s="13">
        <v>0.14461302452073777</v>
      </c>
    </row>
    <row r="84" spans="2:6" x14ac:dyDescent="0.35">
      <c r="B84" s="11">
        <v>97</v>
      </c>
      <c r="C84" s="12">
        <v>0.43966</v>
      </c>
      <c r="E84" s="11">
        <v>80</v>
      </c>
      <c r="F84" s="13">
        <v>0.14506224431373416</v>
      </c>
    </row>
    <row r="85" spans="2:6" x14ac:dyDescent="0.35">
      <c r="B85" s="11">
        <v>98</v>
      </c>
      <c r="C85" s="12">
        <v>0.46966000000000002</v>
      </c>
      <c r="E85" s="11">
        <v>81</v>
      </c>
      <c r="F85" s="13">
        <v>0.14550672469874695</v>
      </c>
    </row>
    <row r="86" spans="2:6" x14ac:dyDescent="0.35">
      <c r="B86" s="11">
        <v>99</v>
      </c>
      <c r="C86" s="12">
        <v>0.50066999999999995</v>
      </c>
      <c r="E86" s="11">
        <v>82</v>
      </c>
      <c r="F86" s="13">
        <v>0.14594656463705721</v>
      </c>
    </row>
    <row r="87" spans="2:6" x14ac:dyDescent="0.35">
      <c r="B87" s="11">
        <v>100</v>
      </c>
      <c r="C87" s="12">
        <v>0.53254999999999997</v>
      </c>
      <c r="E87" s="11">
        <v>83</v>
      </c>
      <c r="F87" s="13">
        <v>0.14638186002240069</v>
      </c>
    </row>
    <row r="88" spans="2:6" x14ac:dyDescent="0.35">
      <c r="B88" s="11">
        <v>101</v>
      </c>
      <c r="C88" s="12">
        <v>0.56513000000000002</v>
      </c>
      <c r="E88" s="11">
        <v>84</v>
      </c>
      <c r="F88" s="13">
        <v>0.14681270380645348</v>
      </c>
    </row>
    <row r="89" spans="2:6" x14ac:dyDescent="0.35">
      <c r="B89" s="11">
        <v>102</v>
      </c>
      <c r="C89" s="12">
        <v>0.56722087500000007</v>
      </c>
      <c r="E89" s="14">
        <v>85</v>
      </c>
      <c r="F89" s="15">
        <v>0.14723918611796641</v>
      </c>
    </row>
    <row r="90" spans="2:6" x14ac:dyDescent="0.35">
      <c r="B90" s="11">
        <v>103</v>
      </c>
      <c r="C90" s="12">
        <v>0.56931175000000001</v>
      </c>
      <c r="E90" s="16"/>
      <c r="F90" s="17"/>
    </row>
    <row r="91" spans="2:6" x14ac:dyDescent="0.35">
      <c r="B91" s="11">
        <v>104</v>
      </c>
      <c r="C91" s="12">
        <v>0.57140262499999994</v>
      </c>
      <c r="E91" s="16"/>
      <c r="F91" s="17"/>
    </row>
    <row r="92" spans="2:6" x14ac:dyDescent="0.35">
      <c r="B92" s="11">
        <v>105</v>
      </c>
      <c r="C92" s="12">
        <v>0.57349349999999988</v>
      </c>
      <c r="E92" s="16"/>
      <c r="F92" s="17"/>
    </row>
    <row r="93" spans="2:6" x14ac:dyDescent="0.35">
      <c r="B93" s="11">
        <v>106</v>
      </c>
      <c r="C93" s="12">
        <v>0.57558437499999981</v>
      </c>
      <c r="E93" s="16"/>
      <c r="F93" s="17"/>
    </row>
    <row r="94" spans="2:6" x14ac:dyDescent="0.35">
      <c r="B94" s="11">
        <v>107</v>
      </c>
      <c r="C94" s="12">
        <v>0.57767524999999975</v>
      </c>
      <c r="E94" s="16"/>
      <c r="F94" s="17"/>
    </row>
    <row r="95" spans="2:6" x14ac:dyDescent="0.35">
      <c r="B95" s="11">
        <v>108</v>
      </c>
      <c r="C95" s="12">
        <v>0.57976612499999969</v>
      </c>
    </row>
    <row r="96" spans="2:6" x14ac:dyDescent="0.35">
      <c r="B96" s="11">
        <v>109</v>
      </c>
      <c r="C96" s="18">
        <v>0.58185699999999996</v>
      </c>
    </row>
    <row r="97" spans="2:3" x14ac:dyDescent="0.35">
      <c r="B97" s="11">
        <v>110</v>
      </c>
      <c r="C97" s="18">
        <v>0.60791799999999996</v>
      </c>
    </row>
    <row r="98" spans="2:3" x14ac:dyDescent="0.35">
      <c r="B98" s="11">
        <v>111</v>
      </c>
      <c r="C98" s="18">
        <v>0.63373100000000004</v>
      </c>
    </row>
    <row r="99" spans="2:3" x14ac:dyDescent="0.35">
      <c r="B99" s="11">
        <v>112</v>
      </c>
      <c r="C99" s="18">
        <v>0.65917099999999995</v>
      </c>
    </row>
    <row r="100" spans="2:3" x14ac:dyDescent="0.35">
      <c r="B100" s="11">
        <v>113</v>
      </c>
      <c r="C100" s="18">
        <v>0.684114</v>
      </c>
    </row>
    <row r="101" spans="2:3" x14ac:dyDescent="0.35">
      <c r="B101" s="11">
        <v>114</v>
      </c>
      <c r="C101" s="18">
        <v>0.70844200000000002</v>
      </c>
    </row>
    <row r="102" spans="2:3" x14ac:dyDescent="0.35">
      <c r="B102" s="11">
        <v>115</v>
      </c>
      <c r="C102" s="18">
        <v>0.73204199999999997</v>
      </c>
    </row>
    <row r="103" spans="2:3" x14ac:dyDescent="0.35">
      <c r="B103" s="11">
        <v>116</v>
      </c>
      <c r="C103" s="18">
        <v>0.75480899999999995</v>
      </c>
    </row>
    <row r="104" spans="2:3" x14ac:dyDescent="0.35">
      <c r="B104" s="11">
        <v>117</v>
      </c>
      <c r="C104" s="18">
        <v>0.77664800000000001</v>
      </c>
    </row>
    <row r="105" spans="2:3" x14ac:dyDescent="0.35">
      <c r="B105" s="11">
        <v>118</v>
      </c>
      <c r="C105" s="18">
        <v>0.79747699999999999</v>
      </c>
    </row>
    <row r="106" spans="2:3" x14ac:dyDescent="0.35">
      <c r="B106" s="11">
        <v>119</v>
      </c>
      <c r="C106" s="18">
        <v>0.81722499999999998</v>
      </c>
    </row>
    <row r="107" spans="2:3" x14ac:dyDescent="0.35">
      <c r="B107" s="14">
        <v>120</v>
      </c>
      <c r="C107" s="1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2E534-4071-4F34-84FB-186283AA29AA}">
  <dimension ref="B1:N107"/>
  <sheetViews>
    <sheetView showGridLines="0" zoomScale="88" zoomScaleNormal="104" workbookViewId="0">
      <selection activeCell="E22" sqref="E22"/>
    </sheetView>
  </sheetViews>
  <sheetFormatPr defaultRowHeight="14.5" x14ac:dyDescent="0.35"/>
  <cols>
    <col min="3" max="3" width="8.453125" bestFit="1" customWidth="1"/>
    <col min="4" max="4" width="22.26953125" bestFit="1" customWidth="1"/>
    <col min="5" max="5" width="31.54296875" bestFit="1" customWidth="1"/>
  </cols>
  <sheetData>
    <row r="1" spans="2:14" x14ac:dyDescent="0.35">
      <c r="C1" s="8"/>
    </row>
    <row r="2" spans="2:14" ht="16.5" x14ac:dyDescent="0.35">
      <c r="B2" s="36" t="s">
        <v>2</v>
      </c>
      <c r="C2" s="37" t="s">
        <v>3</v>
      </c>
      <c r="D2" s="37" t="s">
        <v>18</v>
      </c>
      <c r="E2" s="37" t="s">
        <v>19</v>
      </c>
    </row>
    <row r="3" spans="2:14" x14ac:dyDescent="0.35">
      <c r="B3" s="11">
        <v>17</v>
      </c>
      <c r="C3" s="12">
        <v>3.0200000000000001E-3</v>
      </c>
      <c r="D3" s="56">
        <v>3.0200000000000001E-3</v>
      </c>
      <c r="E3" s="12">
        <v>3.0200000000000001E-3</v>
      </c>
      <c r="I3" s="41" t="s">
        <v>10</v>
      </c>
      <c r="J3" s="41" t="s">
        <v>11</v>
      </c>
      <c r="M3">
        <v>8.9249999999999996E-2</v>
      </c>
      <c r="N3" t="s">
        <v>39</v>
      </c>
    </row>
    <row r="4" spans="2:14" x14ac:dyDescent="0.35">
      <c r="B4" s="11">
        <v>18</v>
      </c>
      <c r="C4" s="12">
        <v>2.8300000000000001E-3</v>
      </c>
      <c r="D4" s="56">
        <v>2.8300000000000001E-3</v>
      </c>
      <c r="E4" s="12">
        <v>2.8300000000000001E-3</v>
      </c>
      <c r="I4" s="41" t="s">
        <v>12</v>
      </c>
      <c r="J4" s="41">
        <f>3%</f>
        <v>0.03</v>
      </c>
      <c r="M4">
        <v>0.91074999999999995</v>
      </c>
      <c r="N4" t="s">
        <v>40</v>
      </c>
    </row>
    <row r="5" spans="2:14" x14ac:dyDescent="0.35">
      <c r="B5" s="11">
        <v>19</v>
      </c>
      <c r="C5" s="12">
        <v>2.66E-3</v>
      </c>
      <c r="D5" s="56">
        <v>2.66E-3</v>
      </c>
      <c r="E5" s="12">
        <v>2.66E-3</v>
      </c>
      <c r="I5" s="41" t="s">
        <v>13</v>
      </c>
      <c r="J5" s="41">
        <f>5%</f>
        <v>0.05</v>
      </c>
    </row>
    <row r="6" spans="2:14" x14ac:dyDescent="0.35">
      <c r="B6" s="11">
        <v>20</v>
      </c>
      <c r="C6" s="12">
        <v>2.5100000000000001E-3</v>
      </c>
      <c r="D6" s="56">
        <v>2.5100000000000001E-3</v>
      </c>
      <c r="E6" s="12">
        <v>2.5100000000000001E-3</v>
      </c>
      <c r="I6" s="41" t="s">
        <v>14</v>
      </c>
      <c r="J6" s="41">
        <f>10%</f>
        <v>0.1</v>
      </c>
    </row>
    <row r="7" spans="2:14" x14ac:dyDescent="0.35">
      <c r="B7" s="11">
        <v>21</v>
      </c>
      <c r="C7" s="12">
        <v>2.3900000000000002E-3</v>
      </c>
      <c r="D7" s="56">
        <v>2.3900000000000002E-3</v>
      </c>
      <c r="E7" s="12">
        <v>2.3900000000000002E-3</v>
      </c>
      <c r="I7" s="41" t="s">
        <v>15</v>
      </c>
      <c r="J7" s="41">
        <f>15%</f>
        <v>0.15</v>
      </c>
    </row>
    <row r="8" spans="2:14" x14ac:dyDescent="0.35">
      <c r="B8" s="11">
        <v>22</v>
      </c>
      <c r="C8" s="12">
        <v>2.2799999999999999E-3</v>
      </c>
      <c r="D8" s="56">
        <v>2.2799999999999999E-3</v>
      </c>
      <c r="E8" s="12">
        <v>2.2799999999999999E-3</v>
      </c>
      <c r="I8" s="41" t="s">
        <v>16</v>
      </c>
      <c r="J8" s="41">
        <f>20%</f>
        <v>0.2</v>
      </c>
    </row>
    <row r="9" spans="2:14" x14ac:dyDescent="0.35">
      <c r="B9" s="11">
        <v>23</v>
      </c>
      <c r="C9" s="12">
        <v>2.2000000000000001E-3</v>
      </c>
      <c r="D9" s="56">
        <v>2.2000000000000001E-3</v>
      </c>
      <c r="E9" s="12">
        <v>2.2000000000000001E-3</v>
      </c>
      <c r="I9" s="41" t="s">
        <v>17</v>
      </c>
      <c r="J9" s="41">
        <f>30%</f>
        <v>0.3</v>
      </c>
    </row>
    <row r="10" spans="2:14" x14ac:dyDescent="0.35">
      <c r="B10" s="11">
        <v>24</v>
      </c>
      <c r="C10" s="12">
        <v>2.1299999999999999E-3</v>
      </c>
      <c r="D10" s="56">
        <v>2.1299999999999999E-3</v>
      </c>
      <c r="E10" s="12">
        <v>2.1299999999999999E-3</v>
      </c>
    </row>
    <row r="11" spans="2:14" x14ac:dyDescent="0.35">
      <c r="B11" s="11">
        <v>25</v>
      </c>
      <c r="C11" s="12">
        <v>2.0799999999999998E-3</v>
      </c>
      <c r="D11" s="56">
        <v>2.0799999999999998E-3</v>
      </c>
      <c r="E11" s="12">
        <v>2.0799999999999998E-3</v>
      </c>
    </row>
    <row r="12" spans="2:14" x14ac:dyDescent="0.35">
      <c r="B12" s="11">
        <v>26</v>
      </c>
      <c r="C12" s="12">
        <v>2.0500000000000002E-3</v>
      </c>
      <c r="D12" s="56">
        <v>2.0500000000000002E-3</v>
      </c>
      <c r="E12" s="12">
        <v>2.0500000000000002E-3</v>
      </c>
    </row>
    <row r="13" spans="2:14" x14ac:dyDescent="0.35">
      <c r="B13" s="11">
        <v>27</v>
      </c>
      <c r="C13" s="12">
        <v>2.0400000000000001E-3</v>
      </c>
      <c r="D13" s="56">
        <v>2.0400000000000001E-3</v>
      </c>
      <c r="E13" s="12">
        <v>2.0400000000000001E-3</v>
      </c>
    </row>
    <row r="14" spans="2:14" x14ac:dyDescent="0.35">
      <c r="B14" s="11">
        <v>28</v>
      </c>
      <c r="C14" s="12">
        <v>2.0500000000000002E-3</v>
      </c>
      <c r="D14" s="56">
        <v>2.0500000000000002E-3</v>
      </c>
      <c r="E14" s="12">
        <v>2.0500000000000002E-3</v>
      </c>
    </row>
    <row r="15" spans="2:14" x14ac:dyDescent="0.35">
      <c r="B15" s="11">
        <v>29</v>
      </c>
      <c r="C15" s="12">
        <v>2.0799999999999998E-3</v>
      </c>
      <c r="D15" s="56">
        <v>2.0799999999999998E-3</v>
      </c>
      <c r="E15" s="12">
        <v>2.0799999999999998E-3</v>
      </c>
    </row>
    <row r="16" spans="2:14" x14ac:dyDescent="0.35">
      <c r="B16" s="11">
        <v>30</v>
      </c>
      <c r="C16" s="12">
        <v>2.1199999999999999E-3</v>
      </c>
      <c r="D16" s="56">
        <v>2.1199999999999999E-3</v>
      </c>
      <c r="E16" s="12">
        <v>2.1199999999999999E-3</v>
      </c>
    </row>
    <row r="17" spans="2:5" x14ac:dyDescent="0.35">
      <c r="B17" s="11">
        <v>31</v>
      </c>
      <c r="C17" s="12">
        <v>2.1700000000000001E-3</v>
      </c>
      <c r="D17" s="56">
        <v>2.1700000000000001E-3</v>
      </c>
      <c r="E17" s="12">
        <v>2.1700000000000001E-3</v>
      </c>
    </row>
    <row r="18" spans="2:5" x14ac:dyDescent="0.35">
      <c r="B18" s="11">
        <v>32</v>
      </c>
      <c r="C18" s="12">
        <v>2.2499999999999998E-3</v>
      </c>
      <c r="D18" s="56">
        <v>2.2499999999999998E-3</v>
      </c>
      <c r="E18" s="12">
        <v>2.2499999999999998E-3</v>
      </c>
    </row>
    <row r="19" spans="2:5" x14ac:dyDescent="0.35">
      <c r="B19" s="11">
        <v>33</v>
      </c>
      <c r="C19" s="12">
        <v>2.33E-3</v>
      </c>
      <c r="D19" s="56">
        <v>2.33E-3</v>
      </c>
      <c r="E19" s="12">
        <v>2.33E-3</v>
      </c>
    </row>
    <row r="20" spans="2:5" x14ac:dyDescent="0.35">
      <c r="B20" s="11">
        <v>34</v>
      </c>
      <c r="C20" s="12">
        <v>2.4399999999999999E-3</v>
      </c>
      <c r="D20" s="56">
        <v>2.4399999999999999E-3</v>
      </c>
      <c r="E20" s="12">
        <v>2.4399999999999999E-3</v>
      </c>
    </row>
    <row r="21" spans="2:5" x14ac:dyDescent="0.35">
      <c r="B21" s="69">
        <v>35</v>
      </c>
      <c r="C21" s="68">
        <v>2.5600000000000002E-3</v>
      </c>
      <c r="D21" s="67">
        <f t="shared" ref="D21:D24" si="0">C21/ (1 + $J$4)</f>
        <v>2.4854368932038838E-3</v>
      </c>
      <c r="E21" s="66">
        <f>D21 *$M$3 + C21 *$M$4</f>
        <v>2.5533452427184467E-3</v>
      </c>
    </row>
    <row r="22" spans="2:5" x14ac:dyDescent="0.35">
      <c r="B22" s="11">
        <v>36</v>
      </c>
      <c r="C22" s="12">
        <v>2.7200000000000002E-3</v>
      </c>
      <c r="D22" s="34">
        <f t="shared" si="0"/>
        <v>2.6407766990291263E-3</v>
      </c>
      <c r="E22" s="27">
        <f t="shared" ref="E22:E80" si="1">D22 *$M$3 + C22 *$M$4</f>
        <v>2.7129293203883493E-3</v>
      </c>
    </row>
    <row r="23" spans="2:5" x14ac:dyDescent="0.35">
      <c r="B23" s="11">
        <v>37</v>
      </c>
      <c r="C23" s="12">
        <v>2.8600000000000001E-3</v>
      </c>
      <c r="D23" s="34">
        <f t="shared" si="0"/>
        <v>2.7766990291262137E-3</v>
      </c>
      <c r="E23" s="27">
        <f t="shared" si="1"/>
        <v>2.8525653883495145E-3</v>
      </c>
    </row>
    <row r="24" spans="2:5" x14ac:dyDescent="0.35">
      <c r="B24" s="11">
        <v>38</v>
      </c>
      <c r="C24" s="12">
        <v>3.0400000000000002E-3</v>
      </c>
      <c r="D24" s="34">
        <f t="shared" si="0"/>
        <v>2.9514563106796117E-3</v>
      </c>
      <c r="E24" s="27">
        <f t="shared" si="1"/>
        <v>3.0320974757281553E-3</v>
      </c>
    </row>
    <row r="25" spans="2:5" x14ac:dyDescent="0.35">
      <c r="B25" s="11">
        <v>39</v>
      </c>
      <c r="C25" s="12">
        <v>3.2499999999999999E-3</v>
      </c>
      <c r="D25" s="34">
        <f>C25/ (1 + $J$4)</f>
        <v>3.1553398058252425E-3</v>
      </c>
      <c r="E25" s="27">
        <f t="shared" si="1"/>
        <v>3.2415515776699029E-3</v>
      </c>
    </row>
    <row r="26" spans="2:5" x14ac:dyDescent="0.35">
      <c r="B26" s="11">
        <v>40</v>
      </c>
      <c r="C26" s="12">
        <v>3.5000000000000001E-3</v>
      </c>
      <c r="D26" s="34">
        <f>C26/(1+$J$5)</f>
        <v>3.3333333333333331E-3</v>
      </c>
      <c r="E26" s="27">
        <f t="shared" si="1"/>
        <v>3.4851249999999999E-3</v>
      </c>
    </row>
    <row r="27" spans="2:5" x14ac:dyDescent="0.35">
      <c r="B27" s="11">
        <v>41</v>
      </c>
      <c r="C27" s="12">
        <v>3.7699999999999999E-3</v>
      </c>
      <c r="D27" s="34">
        <f t="shared" ref="D27:D34" si="2">C27/(1+$J$5)</f>
        <v>3.5904761904761904E-3</v>
      </c>
      <c r="E27" s="27">
        <f t="shared" si="1"/>
        <v>3.7539774999999997E-3</v>
      </c>
    </row>
    <row r="28" spans="2:5" x14ac:dyDescent="0.35">
      <c r="B28" s="11">
        <v>42</v>
      </c>
      <c r="C28" s="12">
        <v>4.0800000000000003E-3</v>
      </c>
      <c r="D28" s="34">
        <f t="shared" si="2"/>
        <v>3.8857142857142857E-3</v>
      </c>
      <c r="E28" s="27">
        <f t="shared" si="1"/>
        <v>4.0626600000000001E-3</v>
      </c>
    </row>
    <row r="29" spans="2:5" x14ac:dyDescent="0.35">
      <c r="B29" s="11">
        <v>43</v>
      </c>
      <c r="C29" s="12">
        <v>4.4299999999999999E-3</v>
      </c>
      <c r="D29" s="34">
        <f t="shared" si="2"/>
        <v>4.2190476190476188E-3</v>
      </c>
      <c r="E29" s="27">
        <f t="shared" si="1"/>
        <v>4.4111724999999994E-3</v>
      </c>
    </row>
    <row r="30" spans="2:5" x14ac:dyDescent="0.35">
      <c r="B30" s="11">
        <v>44</v>
      </c>
      <c r="C30" s="12">
        <v>4.8199999999999996E-3</v>
      </c>
      <c r="D30" s="34">
        <f t="shared" si="2"/>
        <v>4.59047619047619E-3</v>
      </c>
      <c r="E30" s="27">
        <f t="shared" si="1"/>
        <v>4.799514999999999E-3</v>
      </c>
    </row>
    <row r="31" spans="2:5" x14ac:dyDescent="0.35">
      <c r="B31" s="11">
        <v>45</v>
      </c>
      <c r="C31" s="12">
        <v>5.2599999999999999E-3</v>
      </c>
      <c r="D31" s="34">
        <f t="shared" si="2"/>
        <v>5.0095238095238092E-3</v>
      </c>
      <c r="E31" s="27">
        <f t="shared" si="1"/>
        <v>5.2376449999999991E-3</v>
      </c>
    </row>
    <row r="32" spans="2:5" x14ac:dyDescent="0.35">
      <c r="B32" s="11">
        <v>46</v>
      </c>
      <c r="C32" s="12">
        <v>5.7400000000000003E-3</v>
      </c>
      <c r="D32" s="34">
        <f t="shared" si="2"/>
        <v>5.4666666666666665E-3</v>
      </c>
      <c r="E32" s="27">
        <f t="shared" si="1"/>
        <v>5.7156050000000003E-3</v>
      </c>
    </row>
    <row r="33" spans="2:5" x14ac:dyDescent="0.35">
      <c r="B33" s="11">
        <v>47</v>
      </c>
      <c r="C33" s="12">
        <v>6.28E-3</v>
      </c>
      <c r="D33" s="34">
        <f t="shared" si="2"/>
        <v>5.9809523809523811E-3</v>
      </c>
      <c r="E33" s="27">
        <f t="shared" si="1"/>
        <v>6.2533099999999998E-3</v>
      </c>
    </row>
    <row r="34" spans="2:5" x14ac:dyDescent="0.35">
      <c r="B34" s="11">
        <v>48</v>
      </c>
      <c r="C34" s="12">
        <v>6.8599999999999998E-3</v>
      </c>
      <c r="D34" s="34">
        <f t="shared" si="2"/>
        <v>6.5333333333333328E-3</v>
      </c>
      <c r="E34" s="27">
        <f t="shared" si="1"/>
        <v>6.8308449999999995E-3</v>
      </c>
    </row>
    <row r="35" spans="2:5" x14ac:dyDescent="0.35">
      <c r="B35" s="11">
        <v>49</v>
      </c>
      <c r="C35" s="12">
        <v>7.4999999999999997E-3</v>
      </c>
      <c r="D35" s="34">
        <f>C35/(1+$J$5)</f>
        <v>7.1428571428571426E-3</v>
      </c>
      <c r="E35" s="27">
        <f t="shared" si="1"/>
        <v>7.4681249999999991E-3</v>
      </c>
    </row>
    <row r="36" spans="2:5" x14ac:dyDescent="0.35">
      <c r="B36" s="11">
        <v>50</v>
      </c>
      <c r="C36" s="12">
        <v>8.2000000000000007E-3</v>
      </c>
      <c r="D36" s="34">
        <f>C36/(1+$J$6)</f>
        <v>7.4545454545454541E-3</v>
      </c>
      <c r="E36" s="27">
        <f t="shared" si="1"/>
        <v>8.1334681818181816E-3</v>
      </c>
    </row>
    <row r="37" spans="2:5" x14ac:dyDescent="0.35">
      <c r="B37" s="11">
        <v>51</v>
      </c>
      <c r="C37" s="12">
        <v>8.9599999999999992E-3</v>
      </c>
      <c r="D37" s="34">
        <f t="shared" ref="D37:D45" si="3">C37/(1+$J$6)</f>
        <v>8.1454545454545443E-3</v>
      </c>
      <c r="E37" s="27">
        <f t="shared" si="1"/>
        <v>8.8873018181818159E-3</v>
      </c>
    </row>
    <row r="38" spans="2:5" x14ac:dyDescent="0.35">
      <c r="B38" s="11">
        <v>52</v>
      </c>
      <c r="C38" s="12">
        <v>9.7900000000000001E-3</v>
      </c>
      <c r="D38" s="34">
        <f t="shared" si="3"/>
        <v>8.8999999999999999E-3</v>
      </c>
      <c r="E38" s="27">
        <f t="shared" si="1"/>
        <v>9.7105674999999995E-3</v>
      </c>
    </row>
    <row r="39" spans="2:5" x14ac:dyDescent="0.35">
      <c r="B39" s="11">
        <v>53</v>
      </c>
      <c r="C39" s="12">
        <v>1.0699999999999999E-2</v>
      </c>
      <c r="D39" s="34">
        <f t="shared" si="3"/>
        <v>9.7272727272727268E-3</v>
      </c>
      <c r="E39" s="27">
        <f t="shared" si="1"/>
        <v>1.061318409090909E-2</v>
      </c>
    </row>
    <row r="40" spans="2:5" x14ac:dyDescent="0.35">
      <c r="B40" s="11">
        <v>54</v>
      </c>
      <c r="C40" s="12">
        <v>1.17E-2</v>
      </c>
      <c r="D40" s="34">
        <f t="shared" si="3"/>
        <v>1.0636363636363637E-2</v>
      </c>
      <c r="E40" s="27">
        <f t="shared" si="1"/>
        <v>1.1605070454545454E-2</v>
      </c>
    </row>
    <row r="41" spans="2:5" x14ac:dyDescent="0.35">
      <c r="B41" s="11">
        <v>55</v>
      </c>
      <c r="C41" s="12">
        <v>1.2800000000000001E-2</v>
      </c>
      <c r="D41" s="34">
        <f t="shared" si="3"/>
        <v>1.1636363636363636E-2</v>
      </c>
      <c r="E41" s="27">
        <f t="shared" si="1"/>
        <v>1.2696145454545456E-2</v>
      </c>
    </row>
    <row r="42" spans="2:5" x14ac:dyDescent="0.35">
      <c r="B42" s="11">
        <v>56</v>
      </c>
      <c r="C42" s="12">
        <v>1.401E-2</v>
      </c>
      <c r="D42" s="34">
        <f t="shared" si="3"/>
        <v>1.2736363636363636E-2</v>
      </c>
      <c r="E42" s="27">
        <f t="shared" si="1"/>
        <v>1.3896327954545453E-2</v>
      </c>
    </row>
    <row r="43" spans="2:5" x14ac:dyDescent="0.35">
      <c r="B43" s="11">
        <v>57</v>
      </c>
      <c r="C43" s="12">
        <v>1.536E-2</v>
      </c>
      <c r="D43" s="34">
        <f t="shared" si="3"/>
        <v>1.3963636363636362E-2</v>
      </c>
      <c r="E43" s="27">
        <f t="shared" si="1"/>
        <v>1.5235374545454544E-2</v>
      </c>
    </row>
    <row r="44" spans="2:5" x14ac:dyDescent="0.35">
      <c r="B44" s="11">
        <v>58</v>
      </c>
      <c r="C44" s="12">
        <v>1.6840000000000001E-2</v>
      </c>
      <c r="D44" s="34">
        <f t="shared" si="3"/>
        <v>1.5309090909090909E-2</v>
      </c>
      <c r="E44" s="27">
        <f t="shared" si="1"/>
        <v>1.6703366363636365E-2</v>
      </c>
    </row>
    <row r="45" spans="2:5" x14ac:dyDescent="0.35">
      <c r="B45" s="11">
        <v>59</v>
      </c>
      <c r="C45" s="12">
        <v>1.847E-2</v>
      </c>
      <c r="D45" s="34">
        <f t="shared" si="3"/>
        <v>1.6790909090909089E-2</v>
      </c>
      <c r="E45" s="27">
        <f t="shared" si="1"/>
        <v>1.8320141136363637E-2</v>
      </c>
    </row>
    <row r="46" spans="2:5" x14ac:dyDescent="0.35">
      <c r="B46" s="11">
        <v>60</v>
      </c>
      <c r="C46" s="12">
        <v>2.027E-2</v>
      </c>
      <c r="D46" s="34">
        <f>C46/(1+$J$7)</f>
        <v>1.7626086956521739E-2</v>
      </c>
      <c r="E46" s="27">
        <f t="shared" si="1"/>
        <v>2.0034030760869563E-2</v>
      </c>
    </row>
    <row r="47" spans="2:5" x14ac:dyDescent="0.35">
      <c r="B47" s="11">
        <v>61</v>
      </c>
      <c r="C47" s="12">
        <v>2.2239999999999999E-2</v>
      </c>
      <c r="D47" s="34">
        <f t="shared" ref="D47:D55" si="4">C47/(1+$J$7)</f>
        <v>1.9339130434782609E-2</v>
      </c>
      <c r="E47" s="27">
        <f t="shared" si="1"/>
        <v>2.1981097391304345E-2</v>
      </c>
    </row>
    <row r="48" spans="2:5" x14ac:dyDescent="0.35">
      <c r="B48" s="11">
        <v>62</v>
      </c>
      <c r="C48" s="12">
        <v>2.4400000000000002E-2</v>
      </c>
      <c r="D48" s="34">
        <f t="shared" si="4"/>
        <v>2.121739130434783E-2</v>
      </c>
      <c r="E48" s="27">
        <f t="shared" si="1"/>
        <v>2.4115952173913043E-2</v>
      </c>
    </row>
    <row r="49" spans="2:5" x14ac:dyDescent="0.35">
      <c r="B49" s="11">
        <v>63</v>
      </c>
      <c r="C49" s="12">
        <v>2.6749999999999999E-2</v>
      </c>
      <c r="D49" s="34">
        <f t="shared" si="4"/>
        <v>2.3260869565217394E-2</v>
      </c>
      <c r="E49" s="27">
        <f t="shared" si="1"/>
        <v>2.6438595108695648E-2</v>
      </c>
    </row>
    <row r="50" spans="2:5" x14ac:dyDescent="0.35">
      <c r="B50" s="11">
        <v>64</v>
      </c>
      <c r="C50" s="12">
        <v>2.9319999999999999E-2</v>
      </c>
      <c r="D50" s="34">
        <f t="shared" si="4"/>
        <v>2.5495652173913044E-2</v>
      </c>
      <c r="E50" s="27">
        <f t="shared" si="1"/>
        <v>2.8978676956521739E-2</v>
      </c>
    </row>
    <row r="51" spans="2:5" x14ac:dyDescent="0.35">
      <c r="B51" s="11">
        <v>65</v>
      </c>
      <c r="C51" s="12">
        <v>3.211E-2</v>
      </c>
      <c r="D51" s="34">
        <f t="shared" si="4"/>
        <v>2.7921739130434785E-2</v>
      </c>
      <c r="E51" s="27">
        <f t="shared" si="1"/>
        <v>3.17361977173913E-2</v>
      </c>
    </row>
    <row r="52" spans="2:5" x14ac:dyDescent="0.35">
      <c r="B52" s="11">
        <v>66</v>
      </c>
      <c r="C52" s="12">
        <v>3.5130000000000002E-2</v>
      </c>
      <c r="D52" s="34">
        <f t="shared" si="4"/>
        <v>3.0547826086956525E-2</v>
      </c>
      <c r="E52" s="27">
        <f t="shared" si="1"/>
        <v>3.472104097826087E-2</v>
      </c>
    </row>
    <row r="53" spans="2:5" x14ac:dyDescent="0.35">
      <c r="B53" s="11">
        <v>67</v>
      </c>
      <c r="C53" s="12">
        <v>3.8399999999999997E-2</v>
      </c>
      <c r="D53" s="34">
        <f t="shared" si="4"/>
        <v>3.3391304347826084E-2</v>
      </c>
      <c r="E53" s="27">
        <f t="shared" si="1"/>
        <v>3.7952973913043475E-2</v>
      </c>
    </row>
    <row r="54" spans="2:5" x14ac:dyDescent="0.35">
      <c r="B54" s="11">
        <v>68</v>
      </c>
      <c r="C54" s="12">
        <v>4.1919999999999999E-2</v>
      </c>
      <c r="D54" s="34">
        <f t="shared" si="4"/>
        <v>3.6452173913043479E-2</v>
      </c>
      <c r="E54" s="27">
        <f t="shared" si="1"/>
        <v>4.143199652173913E-2</v>
      </c>
    </row>
    <row r="55" spans="2:5" x14ac:dyDescent="0.35">
      <c r="B55" s="11">
        <v>69</v>
      </c>
      <c r="C55" s="12">
        <v>4.5719999999999997E-2</v>
      </c>
      <c r="D55" s="34">
        <f t="shared" si="4"/>
        <v>3.9756521739130433E-2</v>
      </c>
      <c r="E55" s="27">
        <f t="shared" si="1"/>
        <v>4.5187759565217388E-2</v>
      </c>
    </row>
    <row r="56" spans="2:5" x14ac:dyDescent="0.35">
      <c r="B56" s="11">
        <v>70</v>
      </c>
      <c r="C56" s="12">
        <v>4.9799999999999997E-2</v>
      </c>
      <c r="D56" s="34">
        <f>C56/(1+$J$8)</f>
        <v>4.1500000000000002E-2</v>
      </c>
      <c r="E56" s="27">
        <f t="shared" si="1"/>
        <v>4.9059224999999998E-2</v>
      </c>
    </row>
    <row r="57" spans="2:5" x14ac:dyDescent="0.35">
      <c r="B57" s="11">
        <v>71</v>
      </c>
      <c r="C57" s="12">
        <v>5.4190000000000002E-2</v>
      </c>
      <c r="D57" s="34">
        <f t="shared" ref="D57:D65" si="5">C57/(1+$J$8)</f>
        <v>4.5158333333333335E-2</v>
      </c>
      <c r="E57" s="27">
        <f t="shared" si="1"/>
        <v>5.3383923749999999E-2</v>
      </c>
    </row>
    <row r="58" spans="2:5" x14ac:dyDescent="0.35">
      <c r="B58" s="11">
        <v>72</v>
      </c>
      <c r="C58" s="12">
        <v>5.8939999999999999E-2</v>
      </c>
      <c r="D58" s="34">
        <f t="shared" si="5"/>
        <v>4.911666666666667E-2</v>
      </c>
      <c r="E58" s="27">
        <f t="shared" si="1"/>
        <v>5.8063267500000001E-2</v>
      </c>
    </row>
    <row r="59" spans="2:5" x14ac:dyDescent="0.35">
      <c r="B59" s="11">
        <v>73</v>
      </c>
      <c r="C59" s="12">
        <v>6.411E-2</v>
      </c>
      <c r="D59" s="34">
        <f t="shared" si="5"/>
        <v>5.3425E-2</v>
      </c>
      <c r="E59" s="27">
        <f t="shared" si="1"/>
        <v>6.315636375E-2</v>
      </c>
    </row>
    <row r="60" spans="2:5" x14ac:dyDescent="0.35">
      <c r="B60" s="11">
        <v>74</v>
      </c>
      <c r="C60" s="12">
        <v>6.9739999999999996E-2</v>
      </c>
      <c r="D60" s="34">
        <f t="shared" si="5"/>
        <v>5.8116666666666664E-2</v>
      </c>
      <c r="E60" s="27">
        <f t="shared" si="1"/>
        <v>6.8702617499999993E-2</v>
      </c>
    </row>
    <row r="61" spans="2:5" x14ac:dyDescent="0.35">
      <c r="B61" s="11">
        <v>75</v>
      </c>
      <c r="C61" s="12">
        <v>7.5880000000000003E-2</v>
      </c>
      <c r="D61" s="34">
        <f t="shared" si="5"/>
        <v>6.3233333333333336E-2</v>
      </c>
      <c r="E61" s="27">
        <f t="shared" si="1"/>
        <v>7.4751285000000001E-2</v>
      </c>
    </row>
    <row r="62" spans="2:5" x14ac:dyDescent="0.35">
      <c r="B62" s="11">
        <v>76</v>
      </c>
      <c r="C62" s="12">
        <v>8.2589999999999997E-2</v>
      </c>
      <c r="D62" s="34">
        <f t="shared" si="5"/>
        <v>6.8824999999999997E-2</v>
      </c>
      <c r="E62" s="27">
        <f t="shared" si="1"/>
        <v>8.1361473749999996E-2</v>
      </c>
    </row>
    <row r="63" spans="2:5" x14ac:dyDescent="0.35">
      <c r="B63" s="11">
        <v>77</v>
      </c>
      <c r="C63" s="12">
        <v>8.992E-2</v>
      </c>
      <c r="D63" s="34">
        <f t="shared" si="5"/>
        <v>7.4933333333333338E-2</v>
      </c>
      <c r="E63" s="27">
        <f t="shared" si="1"/>
        <v>8.8582439999999985E-2</v>
      </c>
    </row>
    <row r="64" spans="2:5" x14ac:dyDescent="0.35">
      <c r="B64" s="11">
        <v>78</v>
      </c>
      <c r="C64" s="12">
        <v>9.7919999999999993E-2</v>
      </c>
      <c r="D64" s="34">
        <f t="shared" si="5"/>
        <v>8.1599999999999992E-2</v>
      </c>
      <c r="E64" s="27">
        <f t="shared" si="1"/>
        <v>9.6463439999999984E-2</v>
      </c>
    </row>
    <row r="65" spans="2:5" x14ac:dyDescent="0.35">
      <c r="B65" s="11">
        <v>79</v>
      </c>
      <c r="C65" s="12">
        <v>0.10664</v>
      </c>
      <c r="D65" s="34">
        <f t="shared" si="5"/>
        <v>8.8866666666666663E-2</v>
      </c>
      <c r="E65" s="27">
        <f t="shared" si="1"/>
        <v>0.10505373</v>
      </c>
    </row>
    <row r="66" spans="2:5" x14ac:dyDescent="0.35">
      <c r="B66" s="11">
        <v>80</v>
      </c>
      <c r="C66" s="12">
        <v>0.11613</v>
      </c>
      <c r="D66" s="34">
        <f>C66/(1+$J$9)</f>
        <v>8.9330769230769227E-2</v>
      </c>
      <c r="E66" s="27">
        <f t="shared" si="1"/>
        <v>0.11373816865384614</v>
      </c>
    </row>
    <row r="67" spans="2:5" x14ac:dyDescent="0.35">
      <c r="B67" s="11">
        <v>81</v>
      </c>
      <c r="C67" s="12">
        <v>0.12645000000000001</v>
      </c>
      <c r="D67" s="34">
        <f t="shared" ref="D67:D106" si="6">C67/(1+$J$9)</f>
        <v>9.7269230769230774E-2</v>
      </c>
      <c r="E67" s="27">
        <f t="shared" si="1"/>
        <v>0.12384561634615385</v>
      </c>
    </row>
    <row r="68" spans="2:5" x14ac:dyDescent="0.35">
      <c r="B68" s="11">
        <v>82</v>
      </c>
      <c r="C68" s="12">
        <v>0.13764000000000001</v>
      </c>
      <c r="D68" s="34">
        <f t="shared" si="6"/>
        <v>0.10587692307692308</v>
      </c>
      <c r="E68" s="27">
        <f t="shared" si="1"/>
        <v>0.13480514538461538</v>
      </c>
    </row>
    <row r="69" spans="2:5" x14ac:dyDescent="0.35">
      <c r="B69" s="11">
        <v>83</v>
      </c>
      <c r="C69" s="12">
        <v>0.14976</v>
      </c>
      <c r="D69" s="34">
        <f t="shared" si="6"/>
        <v>0.1152</v>
      </c>
      <c r="E69" s="27">
        <f t="shared" si="1"/>
        <v>0.14667552</v>
      </c>
    </row>
    <row r="70" spans="2:5" x14ac:dyDescent="0.35">
      <c r="B70" s="11">
        <v>84</v>
      </c>
      <c r="C70" s="12">
        <v>0.16286</v>
      </c>
      <c r="D70" s="34">
        <f t="shared" si="6"/>
        <v>0.12527692307692306</v>
      </c>
      <c r="E70" s="27">
        <f t="shared" si="1"/>
        <v>0.15950571038461539</v>
      </c>
    </row>
    <row r="71" spans="2:5" x14ac:dyDescent="0.35">
      <c r="B71" s="11">
        <v>85</v>
      </c>
      <c r="C71" s="12">
        <v>0.17699000000000001</v>
      </c>
      <c r="D71" s="34">
        <f t="shared" si="6"/>
        <v>0.13614615384615386</v>
      </c>
      <c r="E71" s="27">
        <f t="shared" si="1"/>
        <v>0.17334468673076925</v>
      </c>
    </row>
    <row r="72" spans="2:5" x14ac:dyDescent="0.35">
      <c r="B72" s="11">
        <v>86</v>
      </c>
      <c r="C72" s="12">
        <v>0.19220000000000001</v>
      </c>
      <c r="D72" s="34">
        <f t="shared" si="6"/>
        <v>0.14784615384615385</v>
      </c>
      <c r="E72" s="27">
        <f t="shared" si="1"/>
        <v>0.18824141923076923</v>
      </c>
    </row>
    <row r="73" spans="2:5" x14ac:dyDescent="0.35">
      <c r="B73" s="11">
        <v>87</v>
      </c>
      <c r="C73" s="12">
        <v>0.20841999999999999</v>
      </c>
      <c r="D73" s="34">
        <f t="shared" si="6"/>
        <v>0.1603230769230769</v>
      </c>
      <c r="E73" s="27">
        <f t="shared" si="1"/>
        <v>0.20412734961538462</v>
      </c>
    </row>
    <row r="74" spans="2:5" x14ac:dyDescent="0.35">
      <c r="B74" s="11">
        <v>88</v>
      </c>
      <c r="C74" s="12">
        <v>0.2258</v>
      </c>
      <c r="D74" s="34">
        <f t="shared" si="6"/>
        <v>0.17369230769230767</v>
      </c>
      <c r="E74" s="27">
        <f t="shared" si="1"/>
        <v>0.22114938846153845</v>
      </c>
    </row>
    <row r="75" spans="2:5" x14ac:dyDescent="0.35">
      <c r="B75" s="11">
        <v>89</v>
      </c>
      <c r="C75" s="12">
        <v>0.24440000000000001</v>
      </c>
      <c r="D75" s="34">
        <f t="shared" si="6"/>
        <v>0.188</v>
      </c>
      <c r="E75" s="27">
        <f t="shared" si="1"/>
        <v>0.23936629999999998</v>
      </c>
    </row>
    <row r="76" spans="2:5" x14ac:dyDescent="0.35">
      <c r="B76" s="11">
        <v>90</v>
      </c>
      <c r="C76" s="12">
        <v>0.26424999999999998</v>
      </c>
      <c r="D76" s="34">
        <f t="shared" si="6"/>
        <v>0.20326923076923076</v>
      </c>
      <c r="E76" s="27">
        <f t="shared" si="1"/>
        <v>0.25880746634615381</v>
      </c>
    </row>
    <row r="77" spans="2:5" x14ac:dyDescent="0.35">
      <c r="B77" s="11">
        <v>91</v>
      </c>
      <c r="C77" s="12">
        <v>0.28538000000000002</v>
      </c>
      <c r="D77" s="34">
        <f t="shared" si="6"/>
        <v>0.21952307692307693</v>
      </c>
      <c r="E77" s="27">
        <f t="shared" si="1"/>
        <v>0.27950226961538466</v>
      </c>
    </row>
    <row r="78" spans="2:5" x14ac:dyDescent="0.35">
      <c r="B78" s="11">
        <v>92</v>
      </c>
      <c r="C78" s="12">
        <v>0.30784</v>
      </c>
      <c r="D78" s="34">
        <f t="shared" si="6"/>
        <v>0.23679999999999998</v>
      </c>
      <c r="E78" s="27">
        <f t="shared" si="1"/>
        <v>0.30149967999999999</v>
      </c>
    </row>
    <row r="79" spans="2:5" x14ac:dyDescent="0.35">
      <c r="B79" s="11">
        <v>93</v>
      </c>
      <c r="C79" s="12">
        <v>0.33161000000000002</v>
      </c>
      <c r="D79" s="34">
        <f t="shared" si="6"/>
        <v>0.25508461538461541</v>
      </c>
      <c r="E79" s="27">
        <f t="shared" si="1"/>
        <v>0.32478010942307695</v>
      </c>
    </row>
    <row r="80" spans="2:5" x14ac:dyDescent="0.35">
      <c r="B80" s="11">
        <v>94</v>
      </c>
      <c r="C80" s="12">
        <v>0.35671000000000003</v>
      </c>
      <c r="D80" s="34">
        <f t="shared" si="6"/>
        <v>0.27439230769230771</v>
      </c>
      <c r="E80" s="27">
        <f t="shared" si="1"/>
        <v>0.34936314596153845</v>
      </c>
    </row>
    <row r="81" spans="2:5" x14ac:dyDescent="0.35">
      <c r="B81" s="11">
        <v>95</v>
      </c>
      <c r="C81" s="12">
        <v>0.38311000000000001</v>
      </c>
      <c r="D81" s="34">
        <f t="shared" si="6"/>
        <v>0.29470000000000002</v>
      </c>
      <c r="E81" s="27">
        <f t="shared" ref="E81:E106" si="7">D81 *$M$3 + C81 *$M$4</f>
        <v>0.37521940749999999</v>
      </c>
    </row>
    <row r="82" spans="2:5" x14ac:dyDescent="0.35">
      <c r="B82" s="11">
        <v>96</v>
      </c>
      <c r="C82" s="12">
        <v>0.41077999999999998</v>
      </c>
      <c r="D82" s="34">
        <f t="shared" si="6"/>
        <v>0.31598461538461536</v>
      </c>
      <c r="E82" s="27">
        <f t="shared" si="7"/>
        <v>0.40231951192307691</v>
      </c>
    </row>
    <row r="83" spans="2:5" x14ac:dyDescent="0.35">
      <c r="B83" s="11">
        <v>97</v>
      </c>
      <c r="C83" s="12">
        <v>0.43966</v>
      </c>
      <c r="D83" s="34">
        <f t="shared" si="6"/>
        <v>0.3382</v>
      </c>
      <c r="E83" s="27">
        <f t="shared" si="7"/>
        <v>0.43060469499999998</v>
      </c>
    </row>
    <row r="84" spans="2:5" x14ac:dyDescent="0.35">
      <c r="B84" s="11">
        <v>98</v>
      </c>
      <c r="C84" s="12">
        <v>0.46966000000000002</v>
      </c>
      <c r="D84" s="34">
        <f t="shared" si="6"/>
        <v>0.36127692307692311</v>
      </c>
      <c r="E84" s="27">
        <f t="shared" si="7"/>
        <v>0.45998681038461536</v>
      </c>
    </row>
    <row r="85" spans="2:5" x14ac:dyDescent="0.35">
      <c r="B85" s="11">
        <v>99</v>
      </c>
      <c r="C85" s="12">
        <v>0.50066999999999995</v>
      </c>
      <c r="D85" s="34">
        <f t="shared" si="6"/>
        <v>0.38513076923076917</v>
      </c>
      <c r="E85" s="27">
        <f t="shared" si="7"/>
        <v>0.49035812365384607</v>
      </c>
    </row>
    <row r="86" spans="2:5" x14ac:dyDescent="0.35">
      <c r="B86" s="11">
        <v>100</v>
      </c>
      <c r="C86" s="12">
        <v>0.53254999999999997</v>
      </c>
      <c r="D86" s="34">
        <f t="shared" si="6"/>
        <v>0.40965384615384609</v>
      </c>
      <c r="E86" s="27">
        <f t="shared" si="7"/>
        <v>0.52158151826923072</v>
      </c>
    </row>
    <row r="87" spans="2:5" x14ac:dyDescent="0.35">
      <c r="B87" s="11">
        <v>101</v>
      </c>
      <c r="C87" s="12">
        <v>0.56513000000000002</v>
      </c>
      <c r="D87" s="34">
        <f t="shared" si="6"/>
        <v>0.43471538461538461</v>
      </c>
      <c r="E87" s="27">
        <f t="shared" si="7"/>
        <v>0.55349049557692309</v>
      </c>
    </row>
    <row r="88" spans="2:5" x14ac:dyDescent="0.35">
      <c r="B88" s="11">
        <v>102</v>
      </c>
      <c r="C88" s="12">
        <v>0.56722087500000007</v>
      </c>
      <c r="D88" s="34">
        <f t="shared" si="6"/>
        <v>0.43632375000000007</v>
      </c>
      <c r="E88" s="27">
        <f t="shared" si="7"/>
        <v>0.55553830659375003</v>
      </c>
    </row>
    <row r="89" spans="2:5" x14ac:dyDescent="0.35">
      <c r="B89" s="11">
        <v>103</v>
      </c>
      <c r="C89" s="12">
        <v>0.56931175000000001</v>
      </c>
      <c r="D89" s="34">
        <f t="shared" si="6"/>
        <v>0.43793211538461535</v>
      </c>
      <c r="E89" s="27">
        <f t="shared" si="7"/>
        <v>0.55758611761057686</v>
      </c>
    </row>
    <row r="90" spans="2:5" x14ac:dyDescent="0.35">
      <c r="B90" s="11">
        <v>104</v>
      </c>
      <c r="C90" s="12">
        <v>0.57140262499999994</v>
      </c>
      <c r="D90" s="34">
        <f t="shared" si="6"/>
        <v>0.43954048076923069</v>
      </c>
      <c r="E90" s="27">
        <f t="shared" si="7"/>
        <v>0.55963392862740369</v>
      </c>
    </row>
    <row r="91" spans="2:5" x14ac:dyDescent="0.35">
      <c r="B91" s="11">
        <v>105</v>
      </c>
      <c r="C91" s="12">
        <v>0.57349349999999988</v>
      </c>
      <c r="D91" s="34">
        <f t="shared" si="6"/>
        <v>0.44114884615384603</v>
      </c>
      <c r="E91" s="27">
        <f t="shared" si="7"/>
        <v>0.56168173964423063</v>
      </c>
    </row>
    <row r="92" spans="2:5" x14ac:dyDescent="0.35">
      <c r="B92" s="11">
        <v>106</v>
      </c>
      <c r="C92" s="12">
        <v>0.57558437499999981</v>
      </c>
      <c r="D92" s="34">
        <f t="shared" si="6"/>
        <v>0.44275721153846137</v>
      </c>
      <c r="E92" s="27">
        <f t="shared" si="7"/>
        <v>0.56372955066105745</v>
      </c>
    </row>
    <row r="93" spans="2:5" x14ac:dyDescent="0.35">
      <c r="B93" s="11">
        <v>107</v>
      </c>
      <c r="C93" s="12">
        <v>0.57767524999999975</v>
      </c>
      <c r="D93" s="34">
        <f t="shared" si="6"/>
        <v>0.44436557692307671</v>
      </c>
      <c r="E93" s="27">
        <f t="shared" si="7"/>
        <v>0.56577736167788428</v>
      </c>
    </row>
    <row r="94" spans="2:5" x14ac:dyDescent="0.35">
      <c r="B94" s="11">
        <v>108</v>
      </c>
      <c r="C94" s="12">
        <v>0.57976612499999969</v>
      </c>
      <c r="D94" s="34">
        <f t="shared" si="6"/>
        <v>0.44597394230769205</v>
      </c>
      <c r="E94" s="27">
        <f t="shared" si="7"/>
        <v>0.56782517269471111</v>
      </c>
    </row>
    <row r="95" spans="2:5" x14ac:dyDescent="0.35">
      <c r="B95" s="11">
        <v>109</v>
      </c>
      <c r="C95" s="18">
        <v>0.58185699999999996</v>
      </c>
      <c r="D95" s="34">
        <f t="shared" si="6"/>
        <v>0.44758230769230767</v>
      </c>
      <c r="E95" s="27">
        <f t="shared" si="7"/>
        <v>0.56987298371153838</v>
      </c>
    </row>
    <row r="96" spans="2:5" x14ac:dyDescent="0.35">
      <c r="B96" s="11">
        <v>110</v>
      </c>
      <c r="C96" s="18">
        <v>0.60791799999999996</v>
      </c>
      <c r="D96" s="34">
        <f t="shared" si="6"/>
        <v>0.46762923076923074</v>
      </c>
      <c r="E96" s="27">
        <f t="shared" si="7"/>
        <v>0.59539722734615375</v>
      </c>
    </row>
    <row r="97" spans="2:5" x14ac:dyDescent="0.35">
      <c r="B97" s="11">
        <v>111</v>
      </c>
      <c r="C97" s="18">
        <v>0.63373100000000004</v>
      </c>
      <c r="D97" s="34">
        <f t="shared" si="6"/>
        <v>0.48748538461538465</v>
      </c>
      <c r="E97" s="27">
        <f t="shared" si="7"/>
        <v>0.62067857882692312</v>
      </c>
    </row>
    <row r="98" spans="2:5" x14ac:dyDescent="0.35">
      <c r="B98" s="11">
        <v>112</v>
      </c>
      <c r="C98" s="18">
        <v>0.65917099999999995</v>
      </c>
      <c r="D98" s="34">
        <f t="shared" si="6"/>
        <v>0.50705461538461538</v>
      </c>
      <c r="E98" s="27">
        <f t="shared" si="7"/>
        <v>0.64559461267307683</v>
      </c>
    </row>
    <row r="99" spans="2:5" x14ac:dyDescent="0.35">
      <c r="B99" s="11">
        <v>113</v>
      </c>
      <c r="C99" s="18">
        <v>0.684114</v>
      </c>
      <c r="D99" s="34">
        <f t="shared" si="6"/>
        <v>0.52624153846153843</v>
      </c>
      <c r="E99" s="27">
        <f t="shared" si="7"/>
        <v>0.67002388280769232</v>
      </c>
    </row>
    <row r="100" spans="2:5" x14ac:dyDescent="0.35">
      <c r="B100" s="11">
        <v>114</v>
      </c>
      <c r="C100" s="18">
        <v>0.70844200000000002</v>
      </c>
      <c r="D100" s="34">
        <f t="shared" si="6"/>
        <v>0.54495538461538462</v>
      </c>
      <c r="E100" s="27">
        <f t="shared" si="7"/>
        <v>0.69385081957692296</v>
      </c>
    </row>
    <row r="101" spans="2:5" x14ac:dyDescent="0.35">
      <c r="B101" s="11">
        <v>115</v>
      </c>
      <c r="C101" s="18">
        <v>0.73204199999999997</v>
      </c>
      <c r="D101" s="34">
        <f t="shared" si="6"/>
        <v>0.5631092307692307</v>
      </c>
      <c r="E101" s="27">
        <f t="shared" si="7"/>
        <v>0.71696475034615381</v>
      </c>
    </row>
    <row r="102" spans="2:5" x14ac:dyDescent="0.35">
      <c r="B102" s="11">
        <v>116</v>
      </c>
      <c r="C102" s="18">
        <v>0.75480899999999995</v>
      </c>
      <c r="D102" s="34">
        <f t="shared" si="6"/>
        <v>0.5806223076923076</v>
      </c>
      <c r="E102" s="27">
        <f t="shared" si="7"/>
        <v>0.73926283771153833</v>
      </c>
    </row>
    <row r="103" spans="2:5" x14ac:dyDescent="0.35">
      <c r="B103" s="11">
        <v>117</v>
      </c>
      <c r="C103" s="18">
        <v>0.77664800000000001</v>
      </c>
      <c r="D103" s="34">
        <f t="shared" si="6"/>
        <v>0.59742153846153845</v>
      </c>
      <c r="E103" s="27">
        <f t="shared" si="7"/>
        <v>0.76065203830769224</v>
      </c>
    </row>
    <row r="104" spans="2:5" x14ac:dyDescent="0.35">
      <c r="B104" s="11">
        <v>118</v>
      </c>
      <c r="C104" s="18">
        <v>0.79747699999999999</v>
      </c>
      <c r="D104" s="34">
        <f t="shared" si="6"/>
        <v>0.61344384615384617</v>
      </c>
      <c r="E104" s="27">
        <f t="shared" si="7"/>
        <v>0.78105204101923076</v>
      </c>
    </row>
    <row r="105" spans="2:5" x14ac:dyDescent="0.35">
      <c r="B105" s="11">
        <v>119</v>
      </c>
      <c r="C105" s="18">
        <v>0.81722499999999998</v>
      </c>
      <c r="D105" s="34">
        <f t="shared" si="6"/>
        <v>0.62863461538461529</v>
      </c>
      <c r="E105" s="27">
        <f t="shared" si="7"/>
        <v>0.80039330817307686</v>
      </c>
    </row>
    <row r="106" spans="2:5" x14ac:dyDescent="0.35">
      <c r="B106" s="14">
        <v>120</v>
      </c>
      <c r="C106" s="19">
        <v>1</v>
      </c>
      <c r="D106" s="35">
        <f t="shared" si="6"/>
        <v>0.76923076923076916</v>
      </c>
      <c r="E106" s="27">
        <f t="shared" si="7"/>
        <v>0.97940384615384612</v>
      </c>
    </row>
    <row r="107" spans="2:5" x14ac:dyDescent="0.35">
      <c r="C107" s="8"/>
    </row>
  </sheetData>
  <phoneticPr fontId="1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19B79-9B59-4966-9C8A-34D45D712725}">
  <dimension ref="A1:Z332"/>
  <sheetViews>
    <sheetView showGridLines="0" tabSelected="1" topLeftCell="A372" zoomScale="61" zoomScaleNormal="75" workbookViewId="0">
      <selection activeCell="M202" sqref="M202"/>
    </sheetView>
  </sheetViews>
  <sheetFormatPr defaultRowHeight="14.5" x14ac:dyDescent="0.35"/>
  <cols>
    <col min="2" max="2" width="6.26953125" bestFit="1" customWidth="1"/>
    <col min="3" max="3" width="8.54296875" bestFit="1" customWidth="1"/>
    <col min="4" max="4" width="9.26953125" bestFit="1" customWidth="1"/>
    <col min="5" max="5" width="40.08984375" bestFit="1" customWidth="1"/>
    <col min="6" max="6" width="20.08984375" bestFit="1" customWidth="1"/>
    <col min="7" max="7" width="28.81640625" bestFit="1" customWidth="1"/>
    <col min="8" max="8" width="42.08984375" bestFit="1" customWidth="1"/>
    <col min="9" max="9" width="17.90625" bestFit="1" customWidth="1"/>
    <col min="10" max="10" width="19.36328125" bestFit="1" customWidth="1"/>
    <col min="11" max="11" width="12.26953125" bestFit="1" customWidth="1"/>
    <col min="12" max="12" width="12.36328125" bestFit="1" customWidth="1"/>
    <col min="13" max="13" width="12.26953125" bestFit="1" customWidth="1"/>
    <col min="14" max="14" width="10.90625" bestFit="1" customWidth="1"/>
  </cols>
  <sheetData>
    <row r="1" spans="2:10" x14ac:dyDescent="0.35">
      <c r="C1" s="8"/>
    </row>
    <row r="2" spans="2:10" ht="46.5" x14ac:dyDescent="0.35">
      <c r="B2" s="36" t="s">
        <v>2</v>
      </c>
      <c r="C2" s="37" t="s">
        <v>3</v>
      </c>
      <c r="D2" s="38" t="s">
        <v>18</v>
      </c>
      <c r="E2" s="39" t="s">
        <v>21</v>
      </c>
      <c r="F2" s="40" t="s">
        <v>23</v>
      </c>
    </row>
    <row r="3" spans="2:10" x14ac:dyDescent="0.35">
      <c r="B3" s="11">
        <v>17</v>
      </c>
      <c r="C3" s="12">
        <v>3.0200000000000001E-3</v>
      </c>
      <c r="D3" s="28">
        <v>3.0200000000000001E-3</v>
      </c>
      <c r="E3" s="33"/>
      <c r="F3" s="30"/>
      <c r="I3" s="41" t="s">
        <v>10</v>
      </c>
      <c r="J3" s="41" t="s">
        <v>11</v>
      </c>
    </row>
    <row r="4" spans="2:10" x14ac:dyDescent="0.35">
      <c r="B4" s="11">
        <v>18</v>
      </c>
      <c r="C4" s="12">
        <v>2.8300000000000001E-3</v>
      </c>
      <c r="D4" s="28">
        <v>2.8300000000000001E-3</v>
      </c>
      <c r="E4" s="33"/>
      <c r="F4" s="30"/>
      <c r="I4" s="41" t="s">
        <v>12</v>
      </c>
      <c r="J4" s="41">
        <f>3%</f>
        <v>0.03</v>
      </c>
    </row>
    <row r="5" spans="2:10" x14ac:dyDescent="0.35">
      <c r="B5" s="11">
        <v>19</v>
      </c>
      <c r="C5" s="12">
        <v>2.66E-3</v>
      </c>
      <c r="D5" s="28">
        <v>2.66E-3</v>
      </c>
      <c r="E5" s="33"/>
      <c r="F5" s="30"/>
      <c r="I5" s="41" t="s">
        <v>13</v>
      </c>
      <c r="J5" s="41">
        <f>5%</f>
        <v>0.05</v>
      </c>
    </row>
    <row r="6" spans="2:10" x14ac:dyDescent="0.35">
      <c r="B6" s="11">
        <v>20</v>
      </c>
      <c r="C6" s="12">
        <v>2.5100000000000001E-3</v>
      </c>
      <c r="D6" s="28">
        <v>2.5100000000000001E-3</v>
      </c>
      <c r="E6" s="33"/>
      <c r="F6" s="30"/>
      <c r="I6" s="41" t="s">
        <v>14</v>
      </c>
      <c r="J6" s="41">
        <f>10%</f>
        <v>0.1</v>
      </c>
    </row>
    <row r="7" spans="2:10" x14ac:dyDescent="0.35">
      <c r="B7" s="11">
        <v>21</v>
      </c>
      <c r="C7" s="12">
        <v>2.3900000000000002E-3</v>
      </c>
      <c r="D7" s="28">
        <v>2.3900000000000002E-3</v>
      </c>
      <c r="E7" s="33"/>
      <c r="F7" s="30"/>
      <c r="I7" s="41" t="s">
        <v>15</v>
      </c>
      <c r="J7" s="41">
        <f>15%</f>
        <v>0.15</v>
      </c>
    </row>
    <row r="8" spans="2:10" x14ac:dyDescent="0.35">
      <c r="B8" s="11">
        <v>22</v>
      </c>
      <c r="C8" s="12">
        <v>2.2799999999999999E-3</v>
      </c>
      <c r="D8" s="28">
        <v>2.2799999999999999E-3</v>
      </c>
      <c r="E8" s="33"/>
      <c r="F8" s="30"/>
      <c r="I8" s="41" t="s">
        <v>16</v>
      </c>
      <c r="J8" s="41">
        <f>20%</f>
        <v>0.2</v>
      </c>
    </row>
    <row r="9" spans="2:10" x14ac:dyDescent="0.35">
      <c r="B9" s="11">
        <v>23</v>
      </c>
      <c r="C9" s="12">
        <v>2.2000000000000001E-3</v>
      </c>
      <c r="D9" s="28">
        <v>2.2000000000000001E-3</v>
      </c>
      <c r="E9" s="33"/>
      <c r="F9" s="30"/>
      <c r="I9" s="41" t="s">
        <v>17</v>
      </c>
      <c r="J9" s="41">
        <f>30%</f>
        <v>0.3</v>
      </c>
    </row>
    <row r="10" spans="2:10" x14ac:dyDescent="0.35">
      <c r="B10" s="11">
        <v>24</v>
      </c>
      <c r="C10" s="12">
        <v>2.1299999999999999E-3</v>
      </c>
      <c r="D10" s="28">
        <v>2.1299999999999999E-3</v>
      </c>
      <c r="E10" s="33"/>
      <c r="F10" s="30"/>
    </row>
    <row r="11" spans="2:10" x14ac:dyDescent="0.35">
      <c r="B11" s="11">
        <v>25</v>
      </c>
      <c r="C11" s="12">
        <v>2.0799999999999998E-3</v>
      </c>
      <c r="D11" s="28">
        <v>2.0799999999999998E-3</v>
      </c>
      <c r="E11" s="33"/>
      <c r="F11" s="30"/>
    </row>
    <row r="12" spans="2:10" x14ac:dyDescent="0.35">
      <c r="B12" s="11">
        <v>26</v>
      </c>
      <c r="C12" s="12">
        <v>2.0500000000000002E-3</v>
      </c>
      <c r="D12" s="28">
        <v>2.0500000000000002E-3</v>
      </c>
      <c r="E12" s="33"/>
      <c r="F12" s="30"/>
    </row>
    <row r="13" spans="2:10" x14ac:dyDescent="0.35">
      <c r="B13" s="11">
        <v>27</v>
      </c>
      <c r="C13" s="12">
        <v>2.0400000000000001E-3</v>
      </c>
      <c r="D13" s="28">
        <v>2.0400000000000001E-3</v>
      </c>
      <c r="E13" s="33"/>
      <c r="F13" s="30"/>
    </row>
    <row r="14" spans="2:10" x14ac:dyDescent="0.35">
      <c r="B14" s="11">
        <v>28</v>
      </c>
      <c r="C14" s="12">
        <v>2.0500000000000002E-3</v>
      </c>
      <c r="D14" s="28">
        <v>2.0500000000000002E-3</v>
      </c>
      <c r="E14" s="33"/>
      <c r="F14" s="30"/>
    </row>
    <row r="15" spans="2:10" x14ac:dyDescent="0.35">
      <c r="B15" s="11">
        <v>29</v>
      </c>
      <c r="C15" s="12">
        <v>2.0799999999999998E-3</v>
      </c>
      <c r="D15" s="28">
        <v>2.0799999999999998E-3</v>
      </c>
      <c r="E15" s="33"/>
      <c r="F15" s="30"/>
    </row>
    <row r="16" spans="2:10" x14ac:dyDescent="0.35">
      <c r="B16" s="11">
        <v>30</v>
      </c>
      <c r="C16" s="12">
        <v>2.1199999999999999E-3</v>
      </c>
      <c r="D16" s="28">
        <v>2.1199999999999999E-3</v>
      </c>
      <c r="E16" s="33"/>
      <c r="F16" s="30"/>
    </row>
    <row r="17" spans="2:6" x14ac:dyDescent="0.35">
      <c r="B17" s="11">
        <v>31</v>
      </c>
      <c r="C17" s="12">
        <v>2.1700000000000001E-3</v>
      </c>
      <c r="D17" s="28">
        <v>2.1700000000000001E-3</v>
      </c>
      <c r="E17" s="33"/>
      <c r="F17" s="30"/>
    </row>
    <row r="18" spans="2:6" x14ac:dyDescent="0.35">
      <c r="B18" s="11">
        <v>32</v>
      </c>
      <c r="C18" s="12">
        <v>2.2499999999999998E-3</v>
      </c>
      <c r="D18" s="28">
        <v>2.2499999999999998E-3</v>
      </c>
      <c r="E18" s="33"/>
      <c r="F18" s="30"/>
    </row>
    <row r="19" spans="2:6" x14ac:dyDescent="0.35">
      <c r="B19" s="11">
        <v>33</v>
      </c>
      <c r="C19" s="12">
        <v>2.33E-3</v>
      </c>
      <c r="D19" s="28">
        <v>2.33E-3</v>
      </c>
      <c r="E19" s="33"/>
      <c r="F19" s="30"/>
    </row>
    <row r="20" spans="2:6" x14ac:dyDescent="0.35">
      <c r="B20" s="11">
        <v>34</v>
      </c>
      <c r="C20" s="12">
        <v>2.4399999999999999E-3</v>
      </c>
      <c r="D20" s="28">
        <v>2.4399999999999999E-3</v>
      </c>
      <c r="E20" s="33"/>
      <c r="F20" s="30"/>
    </row>
    <row r="21" spans="2:6" x14ac:dyDescent="0.35">
      <c r="B21" s="59">
        <v>35</v>
      </c>
      <c r="C21" s="60">
        <v>2.5600000000000002E-3</v>
      </c>
      <c r="D21" s="61">
        <f>C21/ (1 + $J$4)</f>
        <v>2.4854368932038838E-3</v>
      </c>
      <c r="E21" s="62">
        <v>1</v>
      </c>
      <c r="F21" s="63">
        <v>1</v>
      </c>
    </row>
    <row r="22" spans="2:6" x14ac:dyDescent="0.35">
      <c r="B22" s="11">
        <v>36</v>
      </c>
      <c r="C22" s="12">
        <v>2.7200000000000002E-3</v>
      </c>
      <c r="D22" s="27">
        <f>C22/ (1 + $J$4)</f>
        <v>2.6407766990291263E-3</v>
      </c>
      <c r="E22" s="34">
        <f>E21*(1-C21)</f>
        <v>0.99743999999999999</v>
      </c>
      <c r="F22" s="31">
        <f>F21*(1-D21)</f>
        <v>0.99751456310679609</v>
      </c>
    </row>
    <row r="23" spans="2:6" x14ac:dyDescent="0.35">
      <c r="B23" s="11">
        <v>37</v>
      </c>
      <c r="C23" s="12">
        <v>2.8600000000000001E-3</v>
      </c>
      <c r="D23" s="27">
        <f>C23/ (1 + $J$4)</f>
        <v>2.7766990291262137E-3</v>
      </c>
      <c r="E23" s="34">
        <f t="shared" ref="E23:E86" si="0">E22*(1-C22)</f>
        <v>0.99472696319999998</v>
      </c>
      <c r="F23" s="31">
        <f t="shared" ref="F23:F86" si="1">F22*(1-D22)</f>
        <v>0.99488034989160135</v>
      </c>
    </row>
    <row r="24" spans="2:6" x14ac:dyDescent="0.35">
      <c r="B24" s="11">
        <v>38</v>
      </c>
      <c r="C24" s="12">
        <v>3.0400000000000002E-3</v>
      </c>
      <c r="D24" s="27">
        <f>C24/ (1 + $J$4)</f>
        <v>2.9514563106796117E-3</v>
      </c>
      <c r="E24" s="34">
        <f t="shared" si="0"/>
        <v>0.99188204408524805</v>
      </c>
      <c r="F24" s="31">
        <f t="shared" si="1"/>
        <v>0.9921178665899606</v>
      </c>
    </row>
    <row r="25" spans="2:6" x14ac:dyDescent="0.35">
      <c r="B25" s="11">
        <v>39</v>
      </c>
      <c r="C25" s="12">
        <v>3.2499999999999999E-3</v>
      </c>
      <c r="D25" s="27">
        <f>C25/ (1 + $J$4)</f>
        <v>3.1553398058252425E-3</v>
      </c>
      <c r="E25" s="34">
        <f t="shared" si="0"/>
        <v>0.98886672267122888</v>
      </c>
      <c r="F25" s="31">
        <f t="shared" si="1"/>
        <v>0.98918967405167568</v>
      </c>
    </row>
    <row r="26" spans="2:6" x14ac:dyDescent="0.35">
      <c r="B26" s="11">
        <v>40</v>
      </c>
      <c r="C26" s="12">
        <v>3.5000000000000001E-3</v>
      </c>
      <c r="D26" s="27">
        <f>C26/(1+$J$5)</f>
        <v>3.3333333333333331E-3</v>
      </c>
      <c r="E26" s="34">
        <f t="shared" si="0"/>
        <v>0.98565290582254739</v>
      </c>
      <c r="F26" s="31">
        <f t="shared" si="1"/>
        <v>0.98606844449762909</v>
      </c>
    </row>
    <row r="27" spans="2:6" x14ac:dyDescent="0.35">
      <c r="B27" s="11">
        <v>41</v>
      </c>
      <c r="C27" s="12">
        <v>3.7699999999999999E-3</v>
      </c>
      <c r="D27" s="27">
        <f t="shared" ref="D27:D34" si="2">C27/(1+$J$5)</f>
        <v>3.5904761904761904E-3</v>
      </c>
      <c r="E27" s="34">
        <f t="shared" si="0"/>
        <v>0.98220312065216853</v>
      </c>
      <c r="F27" s="31">
        <f t="shared" si="1"/>
        <v>0.98278154968263698</v>
      </c>
    </row>
    <row r="28" spans="2:6" x14ac:dyDescent="0.35">
      <c r="B28" s="11">
        <v>42</v>
      </c>
      <c r="C28" s="12">
        <v>4.0800000000000003E-3</v>
      </c>
      <c r="D28" s="27">
        <f t="shared" si="2"/>
        <v>3.8857142857142857E-3</v>
      </c>
      <c r="E28" s="34">
        <f t="shared" si="0"/>
        <v>0.97850021488730976</v>
      </c>
      <c r="F28" s="31">
        <f t="shared" si="1"/>
        <v>0.97925289592806219</v>
      </c>
    </row>
    <row r="29" spans="2:6" x14ac:dyDescent="0.35">
      <c r="B29" s="11">
        <v>43</v>
      </c>
      <c r="C29" s="12">
        <v>4.4299999999999999E-3</v>
      </c>
      <c r="D29" s="27">
        <f t="shared" si="2"/>
        <v>4.2190476190476188E-3</v>
      </c>
      <c r="E29" s="34">
        <f t="shared" si="0"/>
        <v>0.97450793401056957</v>
      </c>
      <c r="F29" s="31">
        <f t="shared" si="1"/>
        <v>0.9754477989610274</v>
      </c>
    </row>
    <row r="30" spans="2:6" x14ac:dyDescent="0.35">
      <c r="B30" s="11">
        <v>44</v>
      </c>
      <c r="C30" s="12">
        <v>4.8199999999999996E-3</v>
      </c>
      <c r="D30" s="27">
        <f t="shared" si="2"/>
        <v>4.59047619047619E-3</v>
      </c>
      <c r="E30" s="34">
        <f t="shared" si="0"/>
        <v>0.97019086386290265</v>
      </c>
      <c r="F30" s="31">
        <f t="shared" si="1"/>
        <v>0.97133233824731569</v>
      </c>
    </row>
    <row r="31" spans="2:6" x14ac:dyDescent="0.35">
      <c r="B31" s="11">
        <v>45</v>
      </c>
      <c r="C31" s="12">
        <v>5.2599999999999999E-3</v>
      </c>
      <c r="D31" s="27">
        <f t="shared" si="2"/>
        <v>5.0095238095238092E-3</v>
      </c>
      <c r="E31" s="34">
        <f t="shared" si="0"/>
        <v>0.96551454389908342</v>
      </c>
      <c r="F31" s="31">
        <f t="shared" si="1"/>
        <v>0.96687346027555188</v>
      </c>
    </row>
    <row r="32" spans="2:6" x14ac:dyDescent="0.35">
      <c r="B32" s="11">
        <v>46</v>
      </c>
      <c r="C32" s="12">
        <v>5.7400000000000003E-3</v>
      </c>
      <c r="D32" s="27">
        <f t="shared" si="2"/>
        <v>5.4666666666666665E-3</v>
      </c>
      <c r="E32" s="34">
        <f t="shared" si="0"/>
        <v>0.96043593739817423</v>
      </c>
      <c r="F32" s="31">
        <f t="shared" si="1"/>
        <v>0.96202988465550487</v>
      </c>
    </row>
    <row r="33" spans="2:6" x14ac:dyDescent="0.35">
      <c r="B33" s="11">
        <v>47</v>
      </c>
      <c r="C33" s="12">
        <v>6.28E-3</v>
      </c>
      <c r="D33" s="27">
        <f t="shared" si="2"/>
        <v>5.9809523809523811E-3</v>
      </c>
      <c r="E33" s="34">
        <f t="shared" si="0"/>
        <v>0.95492303511750876</v>
      </c>
      <c r="F33" s="31">
        <f t="shared" si="1"/>
        <v>0.95677078795272152</v>
      </c>
    </row>
    <row r="34" spans="2:6" x14ac:dyDescent="0.35">
      <c r="B34" s="11">
        <v>48</v>
      </c>
      <c r="C34" s="12">
        <v>6.8599999999999998E-3</v>
      </c>
      <c r="D34" s="27">
        <f t="shared" si="2"/>
        <v>6.5333333333333328E-3</v>
      </c>
      <c r="E34" s="34">
        <f t="shared" si="0"/>
        <v>0.94892611845697084</v>
      </c>
      <c r="F34" s="31">
        <f t="shared" si="1"/>
        <v>0.95104838743048992</v>
      </c>
    </row>
    <row r="35" spans="2:6" x14ac:dyDescent="0.35">
      <c r="B35" s="11">
        <v>49</v>
      </c>
      <c r="C35" s="12">
        <v>7.4999999999999997E-3</v>
      </c>
      <c r="D35" s="27">
        <f>C35/(1+$J$5)</f>
        <v>7.1428571428571426E-3</v>
      </c>
      <c r="E35" s="34">
        <f t="shared" si="0"/>
        <v>0.94241648528435606</v>
      </c>
      <c r="F35" s="31">
        <f t="shared" si="1"/>
        <v>0.94483487129927746</v>
      </c>
    </row>
    <row r="36" spans="2:6" x14ac:dyDescent="0.35">
      <c r="B36" s="11">
        <v>50</v>
      </c>
      <c r="C36" s="12">
        <v>8.2000000000000007E-3</v>
      </c>
      <c r="D36" s="27">
        <f>C36/(1+$J$6)</f>
        <v>7.4545454545454541E-3</v>
      </c>
      <c r="E36" s="34">
        <f t="shared" si="0"/>
        <v>0.93534836164472346</v>
      </c>
      <c r="F36" s="31">
        <f t="shared" si="1"/>
        <v>0.93808605078999696</v>
      </c>
    </row>
    <row r="37" spans="2:6" x14ac:dyDescent="0.35">
      <c r="B37" s="11">
        <v>51</v>
      </c>
      <c r="C37" s="12">
        <v>8.9599999999999992E-3</v>
      </c>
      <c r="D37" s="27">
        <f t="shared" ref="D37:D45" si="3">C37/(1+$J$6)</f>
        <v>8.1454545454545443E-3</v>
      </c>
      <c r="E37" s="34">
        <f t="shared" si="0"/>
        <v>0.92767850507923677</v>
      </c>
      <c r="F37" s="31">
        <f t="shared" si="1"/>
        <v>0.93109304568410789</v>
      </c>
    </row>
    <row r="38" spans="2:6" x14ac:dyDescent="0.35">
      <c r="B38" s="11">
        <v>52</v>
      </c>
      <c r="C38" s="12">
        <v>9.7900000000000001E-3</v>
      </c>
      <c r="D38" s="27">
        <f t="shared" si="3"/>
        <v>8.8999999999999999E-3</v>
      </c>
      <c r="E38" s="34">
        <f t="shared" si="0"/>
        <v>0.9193665056737268</v>
      </c>
      <c r="F38" s="31">
        <f t="shared" si="1"/>
        <v>0.92350886960289913</v>
      </c>
    </row>
    <row r="39" spans="2:6" x14ac:dyDescent="0.35">
      <c r="B39" s="11">
        <v>53</v>
      </c>
      <c r="C39" s="12">
        <v>1.0699999999999999E-2</v>
      </c>
      <c r="D39" s="27">
        <f t="shared" si="3"/>
        <v>9.7272727272727268E-3</v>
      </c>
      <c r="E39" s="34">
        <f t="shared" si="0"/>
        <v>0.91036590758318103</v>
      </c>
      <c r="F39" s="31">
        <f t="shared" si="1"/>
        <v>0.91528964066343332</v>
      </c>
    </row>
    <row r="40" spans="2:6" x14ac:dyDescent="0.35">
      <c r="B40" s="11">
        <v>54</v>
      </c>
      <c r="C40" s="12">
        <v>1.17E-2</v>
      </c>
      <c r="D40" s="27">
        <f t="shared" si="3"/>
        <v>1.0636363636363637E-2</v>
      </c>
      <c r="E40" s="34">
        <f t="shared" si="0"/>
        <v>0.90062499237204097</v>
      </c>
      <c r="F40" s="31">
        <f t="shared" si="1"/>
        <v>0.90638636870425271</v>
      </c>
    </row>
    <row r="41" spans="2:6" x14ac:dyDescent="0.35">
      <c r="B41" s="11">
        <v>55</v>
      </c>
      <c r="C41" s="12">
        <v>1.2800000000000001E-2</v>
      </c>
      <c r="D41" s="27">
        <f t="shared" si="3"/>
        <v>1.1636363636363636E-2</v>
      </c>
      <c r="E41" s="34">
        <f t="shared" si="0"/>
        <v>0.89008767996128801</v>
      </c>
      <c r="F41" s="31">
        <f t="shared" si="1"/>
        <v>0.89674571369167111</v>
      </c>
    </row>
    <row r="42" spans="2:6" x14ac:dyDescent="0.35">
      <c r="B42" s="11">
        <v>56</v>
      </c>
      <c r="C42" s="12">
        <v>1.401E-2</v>
      </c>
      <c r="D42" s="27">
        <f t="shared" si="3"/>
        <v>1.2736363636363636E-2</v>
      </c>
      <c r="E42" s="34">
        <f t="shared" si="0"/>
        <v>0.87869455765778348</v>
      </c>
      <c r="F42" s="31">
        <f t="shared" si="1"/>
        <v>0.88631085447780433</v>
      </c>
    </row>
    <row r="43" spans="2:6" x14ac:dyDescent="0.35">
      <c r="B43" s="11">
        <v>57</v>
      </c>
      <c r="C43" s="12">
        <v>1.536E-2</v>
      </c>
      <c r="D43" s="27">
        <f t="shared" si="3"/>
        <v>1.3963636363636362E-2</v>
      </c>
      <c r="E43" s="34">
        <f t="shared" si="0"/>
        <v>0.86638404690499793</v>
      </c>
      <c r="F43" s="31">
        <f t="shared" si="1"/>
        <v>0.87502247714031878</v>
      </c>
    </row>
    <row r="44" spans="2:6" x14ac:dyDescent="0.35">
      <c r="B44" s="11">
        <v>58</v>
      </c>
      <c r="C44" s="12">
        <v>1.6840000000000001E-2</v>
      </c>
      <c r="D44" s="27">
        <f t="shared" si="3"/>
        <v>1.5309090909090909E-2</v>
      </c>
      <c r="E44" s="34">
        <f t="shared" si="0"/>
        <v>0.85307638794453711</v>
      </c>
      <c r="F44" s="31">
        <f t="shared" si="1"/>
        <v>0.86280398145952297</v>
      </c>
    </row>
    <row r="45" spans="2:6" x14ac:dyDescent="0.35">
      <c r="B45" s="11">
        <v>59</v>
      </c>
      <c r="C45" s="12">
        <v>1.847E-2</v>
      </c>
      <c r="D45" s="27">
        <f t="shared" si="3"/>
        <v>1.6790909090909089E-2</v>
      </c>
      <c r="E45" s="34">
        <f t="shared" si="0"/>
        <v>0.83871058157155109</v>
      </c>
      <c r="F45" s="31">
        <f t="shared" si="1"/>
        <v>0.84959523687063354</v>
      </c>
    </row>
    <row r="46" spans="2:6" x14ac:dyDescent="0.35">
      <c r="B46" s="11">
        <v>60</v>
      </c>
      <c r="C46" s="12">
        <v>2.027E-2</v>
      </c>
      <c r="D46" s="27">
        <f>C46/(1+$J$7)</f>
        <v>1.7626086956521739E-2</v>
      </c>
      <c r="E46" s="34">
        <f t="shared" si="0"/>
        <v>0.82321959712992454</v>
      </c>
      <c r="F46" s="31">
        <f t="shared" si="1"/>
        <v>0.83532976048426932</v>
      </c>
    </row>
    <row r="47" spans="2:6" x14ac:dyDescent="0.35">
      <c r="B47" s="11">
        <v>61</v>
      </c>
      <c r="C47" s="12">
        <v>2.2239999999999999E-2</v>
      </c>
      <c r="D47" s="27">
        <f t="shared" ref="D47:D55" si="4">C47/(1+$J$7)</f>
        <v>1.9339130434782609E-2</v>
      </c>
      <c r="E47" s="34">
        <f t="shared" si="0"/>
        <v>0.80653293589610098</v>
      </c>
      <c r="F47" s="31">
        <f t="shared" si="1"/>
        <v>0.8206061654886031</v>
      </c>
    </row>
    <row r="48" spans="2:6" x14ac:dyDescent="0.35">
      <c r="B48" s="11">
        <v>62</v>
      </c>
      <c r="C48" s="12">
        <v>2.4400000000000002E-2</v>
      </c>
      <c r="D48" s="27">
        <f t="shared" si="4"/>
        <v>2.121739130434783E-2</v>
      </c>
      <c r="E48" s="34">
        <f t="shared" si="0"/>
        <v>0.78859564340177168</v>
      </c>
      <c r="F48" s="31">
        <f t="shared" si="1"/>
        <v>0.80473635581863223</v>
      </c>
    </row>
    <row r="49" spans="2:6" x14ac:dyDescent="0.35">
      <c r="B49" s="11">
        <v>63</v>
      </c>
      <c r="C49" s="12">
        <v>2.6749999999999999E-2</v>
      </c>
      <c r="D49" s="27">
        <f t="shared" si="4"/>
        <v>2.3260869565217394E-2</v>
      </c>
      <c r="E49" s="34">
        <f t="shared" si="0"/>
        <v>0.76935390970276851</v>
      </c>
      <c r="F49" s="31">
        <f t="shared" si="1"/>
        <v>0.78766194966039338</v>
      </c>
    </row>
    <row r="50" spans="2:6" x14ac:dyDescent="0.35">
      <c r="B50" s="11">
        <v>64</v>
      </c>
      <c r="C50" s="12">
        <v>2.9319999999999999E-2</v>
      </c>
      <c r="D50" s="27">
        <f t="shared" si="4"/>
        <v>2.5495652173913044E-2</v>
      </c>
      <c r="E50" s="34">
        <f t="shared" si="0"/>
        <v>0.74877369261821947</v>
      </c>
      <c r="F50" s="31">
        <f t="shared" si="1"/>
        <v>0.76934024778785814</v>
      </c>
    </row>
    <row r="51" spans="2:6" x14ac:dyDescent="0.35">
      <c r="B51" s="11">
        <v>65</v>
      </c>
      <c r="C51" s="12">
        <v>3.211E-2</v>
      </c>
      <c r="D51" s="27">
        <f t="shared" si="4"/>
        <v>2.7921739130434785E-2</v>
      </c>
      <c r="E51" s="34">
        <f t="shared" si="0"/>
        <v>0.72681964795065324</v>
      </c>
      <c r="F51" s="31">
        <f t="shared" si="1"/>
        <v>0.74972541642686685</v>
      </c>
    </row>
    <row r="52" spans="2:6" x14ac:dyDescent="0.35">
      <c r="B52" s="11">
        <v>66</v>
      </c>
      <c r="C52" s="12">
        <v>3.5130000000000002E-2</v>
      </c>
      <c r="D52" s="27">
        <f t="shared" si="4"/>
        <v>3.0547826086956525E-2</v>
      </c>
      <c r="E52" s="34">
        <f t="shared" si="0"/>
        <v>0.70348146905495779</v>
      </c>
      <c r="F52" s="31">
        <f t="shared" si="1"/>
        <v>0.72879177892993929</v>
      </c>
    </row>
    <row r="53" spans="2:6" x14ac:dyDescent="0.35">
      <c r="B53" s="11">
        <v>67</v>
      </c>
      <c r="C53" s="12">
        <v>3.8399999999999997E-2</v>
      </c>
      <c r="D53" s="27">
        <f t="shared" si="4"/>
        <v>3.3391304347826084E-2</v>
      </c>
      <c r="E53" s="34">
        <f t="shared" si="0"/>
        <v>0.67876816504705717</v>
      </c>
      <c r="F53" s="31">
        <f t="shared" si="1"/>
        <v>0.70652877441358386</v>
      </c>
    </row>
    <row r="54" spans="2:6" x14ac:dyDescent="0.35">
      <c r="B54" s="11">
        <v>68</v>
      </c>
      <c r="C54" s="12">
        <v>4.1919999999999999E-2</v>
      </c>
      <c r="D54" s="27">
        <f t="shared" si="4"/>
        <v>3.6452173913043479E-2</v>
      </c>
      <c r="E54" s="34">
        <f t="shared" si="0"/>
        <v>0.65270346750925023</v>
      </c>
      <c r="F54" s="31">
        <f t="shared" si="1"/>
        <v>0.68293685707664331</v>
      </c>
    </row>
    <row r="55" spans="2:6" x14ac:dyDescent="0.35">
      <c r="B55" s="11">
        <v>69</v>
      </c>
      <c r="C55" s="12">
        <v>4.5719999999999997E-2</v>
      </c>
      <c r="D55" s="27">
        <f t="shared" si="4"/>
        <v>3.9756521739130433E-2</v>
      </c>
      <c r="E55" s="34">
        <f t="shared" si="0"/>
        <v>0.62534213815126249</v>
      </c>
      <c r="F55" s="31">
        <f t="shared" si="1"/>
        <v>0.65804232399085816</v>
      </c>
    </row>
    <row r="56" spans="2:6" x14ac:dyDescent="0.35">
      <c r="B56" s="11">
        <v>70</v>
      </c>
      <c r="C56" s="12">
        <v>4.9799999999999997E-2</v>
      </c>
      <c r="D56" s="27">
        <f>C56/(1+$J$8)</f>
        <v>4.1500000000000002E-2</v>
      </c>
      <c r="E56" s="34">
        <f t="shared" si="0"/>
        <v>0.59675149559498675</v>
      </c>
      <c r="F56" s="31">
        <f t="shared" si="1"/>
        <v>0.63188085003184769</v>
      </c>
    </row>
    <row r="57" spans="2:6" x14ac:dyDescent="0.35">
      <c r="B57" s="11">
        <v>71</v>
      </c>
      <c r="C57" s="12">
        <v>5.4190000000000002E-2</v>
      </c>
      <c r="D57" s="27">
        <f t="shared" ref="D57:D65" si="5">C57/(1+$J$8)</f>
        <v>4.5158333333333335E-2</v>
      </c>
      <c r="E57" s="34">
        <f t="shared" si="0"/>
        <v>0.56703327111435642</v>
      </c>
      <c r="F57" s="31">
        <f t="shared" si="1"/>
        <v>0.60565779475552606</v>
      </c>
    </row>
    <row r="58" spans="2:6" x14ac:dyDescent="0.35">
      <c r="B58" s="11">
        <v>72</v>
      </c>
      <c r="C58" s="12">
        <v>5.8939999999999999E-2</v>
      </c>
      <c r="D58" s="27">
        <f t="shared" si="5"/>
        <v>4.911666666666667E-2</v>
      </c>
      <c r="E58" s="34">
        <f t="shared" si="0"/>
        <v>0.53630573815266946</v>
      </c>
      <c r="F58" s="31">
        <f t="shared" si="1"/>
        <v>0.57830729817402449</v>
      </c>
    </row>
    <row r="59" spans="2:6" x14ac:dyDescent="0.35">
      <c r="B59" s="11">
        <v>73</v>
      </c>
      <c r="C59" s="12">
        <v>6.411E-2</v>
      </c>
      <c r="D59" s="27">
        <f t="shared" si="5"/>
        <v>5.3425E-2</v>
      </c>
      <c r="E59" s="34">
        <f t="shared" si="0"/>
        <v>0.50469587794595117</v>
      </c>
      <c r="F59" s="31">
        <f t="shared" si="1"/>
        <v>0.54990277137871035</v>
      </c>
    </row>
    <row r="60" spans="2:6" x14ac:dyDescent="0.35">
      <c r="B60" s="11">
        <v>74</v>
      </c>
      <c r="C60" s="12">
        <v>6.9739999999999996E-2</v>
      </c>
      <c r="D60" s="27">
        <f t="shared" si="5"/>
        <v>5.8116666666666664E-2</v>
      </c>
      <c r="E60" s="34">
        <f t="shared" si="0"/>
        <v>0.47233982521083623</v>
      </c>
      <c r="F60" s="31">
        <f t="shared" si="1"/>
        <v>0.52052421581780273</v>
      </c>
    </row>
    <row r="61" spans="2:6" x14ac:dyDescent="0.35">
      <c r="B61" s="11">
        <v>75</v>
      </c>
      <c r="C61" s="12">
        <v>7.5880000000000003E-2</v>
      </c>
      <c r="D61" s="27">
        <f t="shared" si="5"/>
        <v>6.3233333333333336E-2</v>
      </c>
      <c r="E61" s="34">
        <f t="shared" si="0"/>
        <v>0.43939884580063249</v>
      </c>
      <c r="F61" s="31">
        <f t="shared" si="1"/>
        <v>0.49027308347519138</v>
      </c>
    </row>
    <row r="62" spans="2:6" x14ac:dyDescent="0.35">
      <c r="B62" s="11">
        <v>76</v>
      </c>
      <c r="C62" s="12">
        <v>8.2589999999999997E-2</v>
      </c>
      <c r="D62" s="27">
        <f t="shared" si="5"/>
        <v>6.8824999999999997E-2</v>
      </c>
      <c r="E62" s="34">
        <f t="shared" si="0"/>
        <v>0.40605726138128051</v>
      </c>
      <c r="F62" s="31">
        <f t="shared" si="1"/>
        <v>0.45927148216344343</v>
      </c>
    </row>
    <row r="63" spans="2:6" x14ac:dyDescent="0.35">
      <c r="B63" s="11">
        <v>77</v>
      </c>
      <c r="C63" s="12">
        <v>8.992E-2</v>
      </c>
      <c r="D63" s="27">
        <f t="shared" si="5"/>
        <v>7.4933333333333338E-2</v>
      </c>
      <c r="E63" s="34">
        <f t="shared" si="0"/>
        <v>0.37252099216380058</v>
      </c>
      <c r="F63" s="31">
        <f t="shared" si="1"/>
        <v>0.42766212240354445</v>
      </c>
    </row>
    <row r="64" spans="2:6" x14ac:dyDescent="0.35">
      <c r="B64" s="11">
        <v>78</v>
      </c>
      <c r="C64" s="12">
        <v>9.7919999999999993E-2</v>
      </c>
      <c r="D64" s="27">
        <f t="shared" si="5"/>
        <v>8.1599999999999992E-2</v>
      </c>
      <c r="E64" s="34">
        <f t="shared" si="0"/>
        <v>0.33902390454843162</v>
      </c>
      <c r="F64" s="31">
        <f t="shared" si="1"/>
        <v>0.39561597403143889</v>
      </c>
    </row>
    <row r="65" spans="2:6" x14ac:dyDescent="0.35">
      <c r="B65" s="11">
        <v>79</v>
      </c>
      <c r="C65" s="12">
        <v>0.10664</v>
      </c>
      <c r="D65" s="27">
        <f t="shared" si="5"/>
        <v>8.8866666666666663E-2</v>
      </c>
      <c r="E65" s="34">
        <f t="shared" si="0"/>
        <v>0.30582668381504918</v>
      </c>
      <c r="F65" s="31">
        <f t="shared" si="1"/>
        <v>0.36333371055047348</v>
      </c>
    </row>
    <row r="66" spans="2:6" x14ac:dyDescent="0.35">
      <c r="B66" s="11">
        <v>80</v>
      </c>
      <c r="C66" s="12">
        <v>0.11613</v>
      </c>
      <c r="D66" s="27">
        <f>C66/(1+$J$9)</f>
        <v>8.9330769230769227E-2</v>
      </c>
      <c r="E66" s="34">
        <f t="shared" si="0"/>
        <v>0.27321332625301237</v>
      </c>
      <c r="F66" s="31">
        <f t="shared" si="1"/>
        <v>0.33104545480622138</v>
      </c>
    </row>
    <row r="67" spans="2:6" x14ac:dyDescent="0.35">
      <c r="B67" s="11">
        <v>81</v>
      </c>
      <c r="C67" s="12">
        <v>0.12645000000000001</v>
      </c>
      <c r="D67" s="27">
        <f t="shared" ref="D67:D106" si="6">C67/(1+$J$9)</f>
        <v>9.7269230769230774E-2</v>
      </c>
      <c r="E67" s="34">
        <f t="shared" si="0"/>
        <v>0.24148506267525005</v>
      </c>
      <c r="F67" s="31">
        <f t="shared" si="1"/>
        <v>0.30147290967803181</v>
      </c>
    </row>
    <row r="68" spans="2:6" x14ac:dyDescent="0.35">
      <c r="B68" s="11">
        <v>82</v>
      </c>
      <c r="C68" s="12">
        <v>0.13764000000000001</v>
      </c>
      <c r="D68" s="27">
        <f t="shared" si="6"/>
        <v>0.10587692307692308</v>
      </c>
      <c r="E68" s="34">
        <f t="shared" si="0"/>
        <v>0.2109492764999647</v>
      </c>
      <c r="F68" s="31">
        <f t="shared" si="1"/>
        <v>0.27214887165588786</v>
      </c>
    </row>
    <row r="69" spans="2:6" x14ac:dyDescent="0.35">
      <c r="B69" s="11">
        <v>83</v>
      </c>
      <c r="C69" s="12">
        <v>0.14976</v>
      </c>
      <c r="D69" s="27">
        <f t="shared" si="6"/>
        <v>0.1152</v>
      </c>
      <c r="E69" s="34">
        <f t="shared" si="0"/>
        <v>0.18191421808250957</v>
      </c>
      <c r="F69" s="31">
        <f t="shared" si="1"/>
        <v>0.24333458650610601</v>
      </c>
    </row>
    <row r="70" spans="2:6" x14ac:dyDescent="0.35">
      <c r="B70" s="11">
        <v>84</v>
      </c>
      <c r="C70" s="12">
        <v>0.16286</v>
      </c>
      <c r="D70" s="27">
        <f t="shared" si="6"/>
        <v>0.12527692307692306</v>
      </c>
      <c r="E70" s="34">
        <f t="shared" si="0"/>
        <v>0.15467074478247295</v>
      </c>
      <c r="F70" s="31">
        <f t="shared" si="1"/>
        <v>0.2153024421406026</v>
      </c>
    </row>
    <row r="71" spans="2:6" x14ac:dyDescent="0.35">
      <c r="B71" s="11">
        <v>85</v>
      </c>
      <c r="C71" s="12">
        <v>0.17699000000000001</v>
      </c>
      <c r="D71" s="27">
        <f t="shared" si="6"/>
        <v>0.13614615384615386</v>
      </c>
      <c r="E71" s="34">
        <f t="shared" si="0"/>
        <v>0.12948106728719941</v>
      </c>
      <c r="F71" s="31">
        <f t="shared" si="1"/>
        <v>0.18833001465828064</v>
      </c>
    </row>
    <row r="72" spans="2:6" x14ac:dyDescent="0.35">
      <c r="B72" s="11">
        <v>86</v>
      </c>
      <c r="C72" s="12">
        <v>0.19220000000000001</v>
      </c>
      <c r="D72" s="27">
        <f t="shared" si="6"/>
        <v>0.14784615384615385</v>
      </c>
      <c r="E72" s="34">
        <f t="shared" si="0"/>
        <v>0.10656421318803799</v>
      </c>
      <c r="F72" s="31">
        <f t="shared" si="1"/>
        <v>0.16268960750876593</v>
      </c>
    </row>
    <row r="73" spans="2:6" x14ac:dyDescent="0.35">
      <c r="B73" s="11">
        <v>87</v>
      </c>
      <c r="C73" s="12">
        <v>0.20841999999999999</v>
      </c>
      <c r="D73" s="27">
        <f t="shared" si="6"/>
        <v>0.1603230769230769</v>
      </c>
      <c r="E73" s="34">
        <f t="shared" si="0"/>
        <v>8.6082571413297088E-2</v>
      </c>
      <c r="F73" s="31">
        <f t="shared" si="1"/>
        <v>0.13863657476785454</v>
      </c>
    </row>
    <row r="74" spans="2:6" x14ac:dyDescent="0.35">
      <c r="B74" s="11">
        <v>88</v>
      </c>
      <c r="C74" s="12">
        <v>0.2258</v>
      </c>
      <c r="D74" s="27">
        <f t="shared" si="6"/>
        <v>0.17369230769230767</v>
      </c>
      <c r="E74" s="34">
        <f t="shared" si="0"/>
        <v>6.8141241879337705E-2</v>
      </c>
      <c r="F74" s="31">
        <f t="shared" si="1"/>
        <v>0.1164099325269959</v>
      </c>
    </row>
    <row r="75" spans="2:6" x14ac:dyDescent="0.35">
      <c r="B75" s="11">
        <v>89</v>
      </c>
      <c r="C75" s="12">
        <v>0.24440000000000001</v>
      </c>
      <c r="D75" s="27">
        <f t="shared" si="6"/>
        <v>0.188</v>
      </c>
      <c r="E75" s="34">
        <f t="shared" si="0"/>
        <v>5.2754949462983251E-2</v>
      </c>
      <c r="F75" s="31">
        <f t="shared" si="1"/>
        <v>9.6190422708076151E-2</v>
      </c>
    </row>
    <row r="76" spans="2:6" x14ac:dyDescent="0.35">
      <c r="B76" s="11">
        <v>90</v>
      </c>
      <c r="C76" s="12">
        <v>0.26424999999999998</v>
      </c>
      <c r="D76" s="27">
        <f t="shared" si="6"/>
        <v>0.20326923076923076</v>
      </c>
      <c r="E76" s="34">
        <f t="shared" si="0"/>
        <v>3.9861639814230146E-2</v>
      </c>
      <c r="F76" s="31">
        <f t="shared" si="1"/>
        <v>7.810662323895784E-2</v>
      </c>
    </row>
    <row r="77" spans="2:6" x14ac:dyDescent="0.35">
      <c r="B77" s="11">
        <v>91</v>
      </c>
      <c r="C77" s="12">
        <v>0.28538000000000002</v>
      </c>
      <c r="D77" s="27">
        <f t="shared" si="6"/>
        <v>0.21952307692307693</v>
      </c>
      <c r="E77" s="34">
        <f t="shared" si="0"/>
        <v>2.9328201493319831E-2</v>
      </c>
      <c r="F77" s="31">
        <f t="shared" si="1"/>
        <v>6.2229950015192756E-2</v>
      </c>
    </row>
    <row r="78" spans="2:6" x14ac:dyDescent="0.35">
      <c r="B78" s="11">
        <v>92</v>
      </c>
      <c r="C78" s="12">
        <v>0.30784</v>
      </c>
      <c r="D78" s="27">
        <f t="shared" si="6"/>
        <v>0.23679999999999998</v>
      </c>
      <c r="E78" s="34">
        <f t="shared" si="0"/>
        <v>2.0958519351156217E-2</v>
      </c>
      <c r="F78" s="31">
        <f t="shared" si="1"/>
        <v>4.8569039911088366E-2</v>
      </c>
    </row>
    <row r="79" spans="2:6" x14ac:dyDescent="0.35">
      <c r="B79" s="11">
        <v>93</v>
      </c>
      <c r="C79" s="12">
        <v>0.33161000000000002</v>
      </c>
      <c r="D79" s="27">
        <f t="shared" si="6"/>
        <v>0.25508461538461541</v>
      </c>
      <c r="E79" s="34">
        <f t="shared" si="0"/>
        <v>1.4506648754096288E-2</v>
      </c>
      <c r="F79" s="31">
        <f t="shared" si="1"/>
        <v>3.7067891260142642E-2</v>
      </c>
    </row>
    <row r="80" spans="2:6" x14ac:dyDescent="0.35">
      <c r="B80" s="11">
        <v>94</v>
      </c>
      <c r="C80" s="12">
        <v>0.35671000000000003</v>
      </c>
      <c r="D80" s="27">
        <f t="shared" si="6"/>
        <v>0.27439230769230771</v>
      </c>
      <c r="E80" s="34">
        <f t="shared" si="0"/>
        <v>9.6960989607504187E-3</v>
      </c>
      <c r="F80" s="31">
        <f t="shared" si="1"/>
        <v>2.7612442474930412E-2</v>
      </c>
    </row>
    <row r="81" spans="2:6" x14ac:dyDescent="0.35">
      <c r="B81" s="11">
        <v>95</v>
      </c>
      <c r="C81" s="12">
        <v>0.38311000000000001</v>
      </c>
      <c r="D81" s="27">
        <f t="shared" si="6"/>
        <v>0.29470000000000002</v>
      </c>
      <c r="E81" s="34">
        <f t="shared" si="0"/>
        <v>6.2374035004611359E-3</v>
      </c>
      <c r="F81" s="31">
        <f t="shared" si="1"/>
        <v>2.0035800663213161E-2</v>
      </c>
    </row>
    <row r="82" spans="2:6" x14ac:dyDescent="0.35">
      <c r="B82" s="11">
        <v>96</v>
      </c>
      <c r="C82" s="12">
        <v>0.41077999999999998</v>
      </c>
      <c r="D82" s="27">
        <f t="shared" si="6"/>
        <v>0.31598461538461536</v>
      </c>
      <c r="E82" s="34">
        <f t="shared" si="0"/>
        <v>3.8477918453994698E-3</v>
      </c>
      <c r="F82" s="31">
        <f t="shared" si="1"/>
        <v>1.4131250207764243E-2</v>
      </c>
    </row>
    <row r="83" spans="2:6" x14ac:dyDescent="0.35">
      <c r="B83" s="11">
        <v>97</v>
      </c>
      <c r="C83" s="12">
        <v>0.43966</v>
      </c>
      <c r="D83" s="27">
        <f t="shared" si="6"/>
        <v>0.3382</v>
      </c>
      <c r="E83" s="34">
        <f t="shared" si="0"/>
        <v>2.2671959111462757E-3</v>
      </c>
      <c r="F83" s="31">
        <f t="shared" si="1"/>
        <v>9.6659925459600931E-3</v>
      </c>
    </row>
    <row r="84" spans="2:6" x14ac:dyDescent="0.35">
      <c r="B84" s="11">
        <v>98</v>
      </c>
      <c r="C84" s="12">
        <v>0.46966000000000002</v>
      </c>
      <c r="D84" s="27">
        <f t="shared" si="6"/>
        <v>0.36127692307692311</v>
      </c>
      <c r="E84" s="34">
        <f t="shared" si="0"/>
        <v>1.2704005568517042E-3</v>
      </c>
      <c r="F84" s="31">
        <f t="shared" si="1"/>
        <v>6.3969538669163889E-3</v>
      </c>
    </row>
    <row r="85" spans="2:6" x14ac:dyDescent="0.35">
      <c r="B85" s="11">
        <v>99</v>
      </c>
      <c r="C85" s="12">
        <v>0.50066999999999995</v>
      </c>
      <c r="D85" s="27">
        <f t="shared" si="6"/>
        <v>0.38513076923076917</v>
      </c>
      <c r="E85" s="34">
        <f t="shared" si="0"/>
        <v>6.7374423132073285E-4</v>
      </c>
      <c r="F85" s="31">
        <f t="shared" si="1"/>
        <v>4.0858820568118112E-3</v>
      </c>
    </row>
    <row r="86" spans="2:6" x14ac:dyDescent="0.35">
      <c r="B86" s="11">
        <v>100</v>
      </c>
      <c r="C86" s="12">
        <v>0.53254999999999997</v>
      </c>
      <c r="D86" s="27">
        <f t="shared" si="6"/>
        <v>0.40965384615384609</v>
      </c>
      <c r="E86" s="34">
        <f t="shared" si="0"/>
        <v>3.3642070702538158E-4</v>
      </c>
      <c r="F86" s="31">
        <f t="shared" si="1"/>
        <v>2.5122831572856811E-3</v>
      </c>
    </row>
    <row r="87" spans="2:6" x14ac:dyDescent="0.35">
      <c r="B87" s="11">
        <v>101</v>
      </c>
      <c r="C87" s="12">
        <v>0.56513000000000002</v>
      </c>
      <c r="D87" s="27">
        <f t="shared" si="6"/>
        <v>0.43471538461538461</v>
      </c>
      <c r="E87" s="34">
        <f t="shared" ref="E87:E106" si="7">E86*(1-C86)</f>
        <v>1.5725985949901464E-4</v>
      </c>
      <c r="F87" s="31">
        <f t="shared" ref="F87:F106" si="8">F86*(1-D86)</f>
        <v>1.4831166992760739E-3</v>
      </c>
    </row>
    <row r="88" spans="2:6" x14ac:dyDescent="0.35">
      <c r="B88" s="11">
        <v>102</v>
      </c>
      <c r="C88" s="12">
        <v>0.56722087500000007</v>
      </c>
      <c r="D88" s="27">
        <f t="shared" si="6"/>
        <v>0.43632375000000007</v>
      </c>
      <c r="E88" s="34">
        <f t="shared" si="7"/>
        <v>6.8387595100336489E-5</v>
      </c>
      <c r="F88" s="31">
        <f t="shared" si="8"/>
        <v>8.3838305292077578E-4</v>
      </c>
    </row>
    <row r="89" spans="2:6" x14ac:dyDescent="0.35">
      <c r="B89" s="11">
        <v>103</v>
      </c>
      <c r="C89" s="12">
        <v>0.56931175000000001</v>
      </c>
      <c r="D89" s="27">
        <f t="shared" si="6"/>
        <v>0.43793211538461535</v>
      </c>
      <c r="E89" s="34">
        <f t="shared" si="7"/>
        <v>2.9596723568377909E-5</v>
      </c>
      <c r="F89" s="31">
        <f t="shared" si="8"/>
        <v>4.7257661533393436E-4</v>
      </c>
    </row>
    <row r="90" spans="2:6" x14ac:dyDescent="0.35">
      <c r="B90" s="11">
        <v>104</v>
      </c>
      <c r="C90" s="12">
        <v>0.57140262499999994</v>
      </c>
      <c r="D90" s="27">
        <f t="shared" si="6"/>
        <v>0.43954048076923069</v>
      </c>
      <c r="E90" s="34">
        <f t="shared" si="7"/>
        <v>1.2746961079398436E-5</v>
      </c>
      <c r="F90" s="31">
        <f t="shared" si="8"/>
        <v>2.6562013849944281E-4</v>
      </c>
    </row>
    <row r="91" spans="2:6" x14ac:dyDescent="0.35">
      <c r="B91" s="11">
        <v>105</v>
      </c>
      <c r="C91" s="12">
        <v>0.57349349999999988</v>
      </c>
      <c r="D91" s="27">
        <f t="shared" si="6"/>
        <v>0.44114884615384603</v>
      </c>
      <c r="E91" s="34">
        <f t="shared" si="7"/>
        <v>5.4633140578573366E-6</v>
      </c>
      <c r="F91" s="31">
        <f t="shared" si="8"/>
        <v>1.4886933512140807E-4</v>
      </c>
    </row>
    <row r="92" spans="2:6" x14ac:dyDescent="0.35">
      <c r="B92" s="11">
        <v>106</v>
      </c>
      <c r="C92" s="12">
        <v>0.57558437499999981</v>
      </c>
      <c r="D92" s="27">
        <f t="shared" si="6"/>
        <v>0.44275721153846137</v>
      </c>
      <c r="E92" s="34">
        <f t="shared" si="7"/>
        <v>2.3301389572175309E-6</v>
      </c>
      <c r="F92" s="31">
        <f t="shared" si="8"/>
        <v>8.3195799704908677E-5</v>
      </c>
    </row>
    <row r="93" spans="2:6" x14ac:dyDescent="0.35">
      <c r="B93" s="11">
        <v>107</v>
      </c>
      <c r="C93" s="12">
        <v>0.57767524999999975</v>
      </c>
      <c r="D93" s="27">
        <f t="shared" si="6"/>
        <v>0.44436557692307671</v>
      </c>
      <c r="E93" s="34">
        <f t="shared" si="7"/>
        <v>9.8894738186432703E-7</v>
      </c>
      <c r="F93" s="31">
        <f t="shared" si="8"/>
        <v>4.6360259415850966E-5</v>
      </c>
    </row>
    <row r="94" spans="2:6" x14ac:dyDescent="0.35">
      <c r="B94" s="11">
        <v>108</v>
      </c>
      <c r="C94" s="12">
        <v>0.57976612499999969</v>
      </c>
      <c r="D94" s="27">
        <f t="shared" si="6"/>
        <v>0.44597394230769205</v>
      </c>
      <c r="E94" s="34">
        <f t="shared" si="7"/>
        <v>4.1765695580900669E-7</v>
      </c>
      <c r="F94" s="31">
        <f t="shared" si="8"/>
        <v>2.5759355994222848E-5</v>
      </c>
    </row>
    <row r="95" spans="2:6" x14ac:dyDescent="0.35">
      <c r="B95" s="11">
        <v>109</v>
      </c>
      <c r="C95" s="18">
        <v>0.58185699999999996</v>
      </c>
      <c r="D95" s="27">
        <f t="shared" si="6"/>
        <v>0.44758230769230767</v>
      </c>
      <c r="E95" s="34">
        <f t="shared" si="7"/>
        <v>1.7551360096032278E-7</v>
      </c>
      <c r="F95" s="31">
        <f t="shared" si="8"/>
        <v>1.4271354450172007E-5</v>
      </c>
    </row>
    <row r="96" spans="2:6" x14ac:dyDescent="0.35">
      <c r="B96" s="11">
        <v>110</v>
      </c>
      <c r="C96" s="18">
        <v>0.60791799999999996</v>
      </c>
      <c r="D96" s="27">
        <f t="shared" si="6"/>
        <v>0.46762923076923074</v>
      </c>
      <c r="E96" s="34">
        <f t="shared" si="7"/>
        <v>7.3389783646352251E-8</v>
      </c>
      <c r="F96" s="31">
        <f t="shared" si="8"/>
        <v>7.8837486914691361E-6</v>
      </c>
    </row>
    <row r="97" spans="2:8" x14ac:dyDescent="0.35">
      <c r="B97" s="11">
        <v>111</v>
      </c>
      <c r="C97" s="18">
        <v>0.63373100000000004</v>
      </c>
      <c r="D97" s="27">
        <f t="shared" si="6"/>
        <v>0.48748538461538465</v>
      </c>
      <c r="E97" s="34">
        <f t="shared" si="7"/>
        <v>2.8774813151629086E-8</v>
      </c>
      <c r="F97" s="31">
        <f t="shared" si="8"/>
        <v>4.1970773552994949E-6</v>
      </c>
    </row>
    <row r="98" spans="2:8" x14ac:dyDescent="0.35">
      <c r="B98" s="11">
        <v>112</v>
      </c>
      <c r="C98" s="18">
        <v>0.65917099999999995</v>
      </c>
      <c r="D98" s="27">
        <f t="shared" si="6"/>
        <v>0.50705461538461538</v>
      </c>
      <c r="E98" s="34">
        <f t="shared" si="7"/>
        <v>1.0539322038234033E-8</v>
      </c>
      <c r="F98" s="31">
        <f t="shared" si="8"/>
        <v>2.1510634864907996E-6</v>
      </c>
    </row>
    <row r="99" spans="2:8" x14ac:dyDescent="0.35">
      <c r="B99" s="11">
        <v>113</v>
      </c>
      <c r="C99" s="18">
        <v>0.684114</v>
      </c>
      <c r="D99" s="27">
        <f t="shared" si="6"/>
        <v>0.52624153846153843</v>
      </c>
      <c r="E99" s="34">
        <f t="shared" si="7"/>
        <v>3.5921065909692677E-9</v>
      </c>
      <c r="F99" s="31">
        <f t="shared" si="8"/>
        <v>1.0603568176803174E-6</v>
      </c>
    </row>
    <row r="100" spans="2:8" x14ac:dyDescent="0.35">
      <c r="B100" s="11">
        <v>114</v>
      </c>
      <c r="C100" s="18">
        <v>0.70844200000000002</v>
      </c>
      <c r="D100" s="27">
        <f t="shared" si="6"/>
        <v>0.54495538461538462</v>
      </c>
      <c r="E100" s="34">
        <f t="shared" si="7"/>
        <v>1.1346961825949181E-9</v>
      </c>
      <c r="F100" s="31">
        <f t="shared" si="8"/>
        <v>5.0235301462604615E-7</v>
      </c>
    </row>
    <row r="101" spans="2:8" x14ac:dyDescent="0.35">
      <c r="B101" s="11">
        <v>115</v>
      </c>
      <c r="C101" s="18">
        <v>0.73204199999999997</v>
      </c>
      <c r="D101" s="27">
        <f t="shared" si="6"/>
        <v>0.5631092307692307</v>
      </c>
      <c r="E101" s="34">
        <f t="shared" si="7"/>
        <v>3.3082974960500912E-10</v>
      </c>
      <c r="F101" s="31">
        <f t="shared" si="8"/>
        <v>2.2859303432781123E-7</v>
      </c>
    </row>
    <row r="102" spans="2:8" x14ac:dyDescent="0.35">
      <c r="B102" s="11">
        <v>116</v>
      </c>
      <c r="C102" s="18">
        <v>0.75480899999999995</v>
      </c>
      <c r="D102" s="27">
        <f t="shared" si="6"/>
        <v>0.5806223076923076</v>
      </c>
      <c r="E102" s="34">
        <f t="shared" si="7"/>
        <v>8.8648478044659041E-11</v>
      </c>
      <c r="F102" s="31">
        <f t="shared" si="8"/>
        <v>9.9870186608273107E-8</v>
      </c>
    </row>
    <row r="103" spans="2:8" x14ac:dyDescent="0.35">
      <c r="B103" s="11">
        <v>117</v>
      </c>
      <c r="C103" s="18">
        <v>0.77664800000000001</v>
      </c>
      <c r="D103" s="27">
        <f t="shared" si="6"/>
        <v>0.59742153846153845</v>
      </c>
      <c r="E103" s="34">
        <f t="shared" si="7"/>
        <v>2.1735808980247998E-11</v>
      </c>
      <c r="F103" s="31">
        <f t="shared" si="8"/>
        <v>4.1883328390116182E-8</v>
      </c>
    </row>
    <row r="104" spans="2:8" x14ac:dyDescent="0.35">
      <c r="B104" s="11">
        <v>118</v>
      </c>
      <c r="C104" s="18">
        <v>0.79747699999999999</v>
      </c>
      <c r="D104" s="27">
        <f t="shared" si="6"/>
        <v>0.61344384615384617</v>
      </c>
      <c r="E104" s="34">
        <f t="shared" si="7"/>
        <v>4.854736407356351E-12</v>
      </c>
      <c r="F104" s="31">
        <f t="shared" si="8"/>
        <v>1.6861325907403142E-8</v>
      </c>
    </row>
    <row r="105" spans="2:8" x14ac:dyDescent="0.35">
      <c r="B105" s="11">
        <v>119</v>
      </c>
      <c r="C105" s="18">
        <v>0.81722499999999998</v>
      </c>
      <c r="D105" s="27">
        <f t="shared" si="6"/>
        <v>0.62863461538461529</v>
      </c>
      <c r="E105" s="34">
        <f t="shared" si="7"/>
        <v>9.8319578142703026E-13</v>
      </c>
      <c r="F105" s="31">
        <f t="shared" si="8"/>
        <v>6.5178492915122683E-9</v>
      </c>
    </row>
    <row r="106" spans="2:8" x14ac:dyDescent="0.35">
      <c r="B106" s="14">
        <v>120</v>
      </c>
      <c r="C106" s="19">
        <v>1</v>
      </c>
      <c r="D106" s="27">
        <f t="shared" si="6"/>
        <v>0.76923076923076916</v>
      </c>
      <c r="E106" s="35">
        <f t="shared" si="7"/>
        <v>1.7970360895032547E-13</v>
      </c>
      <c r="F106" s="32">
        <f t="shared" si="8"/>
        <v>2.4205036090075663E-9</v>
      </c>
    </row>
    <row r="107" spans="2:8" x14ac:dyDescent="0.35">
      <c r="C107" s="8"/>
    </row>
    <row r="108" spans="2:8" x14ac:dyDescent="0.35">
      <c r="E108" s="27">
        <f>SUM(E22:E106)</f>
        <v>36.05458719916907</v>
      </c>
      <c r="F108" s="27">
        <f>SUM(F22:F106)</f>
        <v>37.58048331422598</v>
      </c>
      <c r="H108" t="s">
        <v>22</v>
      </c>
    </row>
    <row r="109" spans="2:8" x14ac:dyDescent="0.35">
      <c r="H109" t="s">
        <v>29</v>
      </c>
    </row>
    <row r="114" spans="1:11" x14ac:dyDescent="0.35">
      <c r="J114" t="s">
        <v>27</v>
      </c>
    </row>
    <row r="115" spans="1:11" x14ac:dyDescent="0.35">
      <c r="D115" s="8"/>
      <c r="G115" s="6"/>
    </row>
    <row r="116" spans="1:11" ht="31" x14ac:dyDescent="0.35">
      <c r="A116" t="s">
        <v>31</v>
      </c>
      <c r="C116" s="49" t="s">
        <v>2</v>
      </c>
      <c r="D116" s="50" t="s">
        <v>3</v>
      </c>
      <c r="E116" s="50" t="s">
        <v>41</v>
      </c>
      <c r="F116" s="36" t="s">
        <v>4</v>
      </c>
      <c r="G116" s="39" t="s">
        <v>1</v>
      </c>
      <c r="H116" s="40" t="s">
        <v>24</v>
      </c>
      <c r="I116" s="40" t="s">
        <v>25</v>
      </c>
      <c r="J116" s="39" t="s">
        <v>26</v>
      </c>
      <c r="K116" s="29"/>
    </row>
    <row r="117" spans="1:11" x14ac:dyDescent="0.35">
      <c r="C117" s="11">
        <v>17</v>
      </c>
      <c r="D117" s="12">
        <v>3.0200000000000001E-3</v>
      </c>
      <c r="E117" s="27"/>
      <c r="F117" s="11">
        <v>0</v>
      </c>
      <c r="G117" s="42"/>
      <c r="H117" s="44">
        <f>1/(1+G117)</f>
        <v>1</v>
      </c>
      <c r="I117" s="48">
        <f>D135*1000000*H118*E135</f>
        <v>2396.0828713068295</v>
      </c>
      <c r="J117" s="48">
        <f>250 * H117*(1.05)^F117*E135</f>
        <v>250</v>
      </c>
    </row>
    <row r="118" spans="1:11" x14ac:dyDescent="0.35">
      <c r="C118" s="11">
        <v>18</v>
      </c>
      <c r="D118" s="12">
        <v>2.8300000000000001E-3</v>
      </c>
      <c r="E118" s="27"/>
      <c r="F118" s="11">
        <v>1</v>
      </c>
      <c r="G118" s="42">
        <v>6.841045886020182E-2</v>
      </c>
      <c r="H118" s="45">
        <f>1/(1+G118)</f>
        <v>0.93596987160423029</v>
      </c>
      <c r="I118" s="48">
        <f t="shared" ref="I118:I181" si="9">D136*1000000*H119*E136</f>
        <v>2364.8940348122437</v>
      </c>
      <c r="J118" s="48">
        <f t="shared" ref="J118:J181" si="10">250 * H118*(1.05)^F118*E136</f>
        <v>245.06311954239243</v>
      </c>
    </row>
    <row r="119" spans="1:11" x14ac:dyDescent="0.35">
      <c r="C119" s="11">
        <v>19</v>
      </c>
      <c r="D119" s="12">
        <v>2.66E-3</v>
      </c>
      <c r="E119" s="27"/>
      <c r="F119" s="11">
        <v>2</v>
      </c>
      <c r="G119" s="42">
        <v>7.1080220695181801E-2</v>
      </c>
      <c r="H119" s="45">
        <f>1/(1+G119)^F119</f>
        <v>0.87167783157686751</v>
      </c>
      <c r="I119" s="48">
        <f t="shared" si="9"/>
        <v>2299.0771031539789</v>
      </c>
      <c r="J119" s="48">
        <f t="shared" si="10"/>
        <v>238.98932253206834</v>
      </c>
    </row>
    <row r="120" spans="1:11" x14ac:dyDescent="0.35">
      <c r="C120" s="11">
        <v>20</v>
      </c>
      <c r="D120" s="12">
        <v>2.5100000000000001E-3</v>
      </c>
      <c r="E120" s="27"/>
      <c r="F120" s="11">
        <v>3</v>
      </c>
      <c r="G120" s="42">
        <v>7.3590835750312417E-2</v>
      </c>
      <c r="H120" s="45">
        <f>1/(1+G120)^F120</f>
        <v>0.80813443560921638</v>
      </c>
      <c r="I120" s="48">
        <f t="shared" si="9"/>
        <v>2249.8251106008211</v>
      </c>
      <c r="J120" s="48">
        <f t="shared" si="10"/>
        <v>231.98053582363855</v>
      </c>
    </row>
    <row r="121" spans="1:11" x14ac:dyDescent="0.35">
      <c r="C121" s="11">
        <v>21</v>
      </c>
      <c r="D121" s="12">
        <v>2.3900000000000002E-3</v>
      </c>
      <c r="E121" s="27"/>
      <c r="F121" s="11">
        <v>4</v>
      </c>
      <c r="G121" s="42">
        <v>7.5960215083255178E-2</v>
      </c>
      <c r="H121" s="45">
        <f t="shared" ref="H121:H183" si="11">1/(1+G121)^F121</f>
        <v>0.74613110898914259</v>
      </c>
      <c r="I121" s="48">
        <f t="shared" si="9"/>
        <v>2205.5536437763062</v>
      </c>
      <c r="J121" s="48">
        <f t="shared" si="10"/>
        <v>224.20748904875646</v>
      </c>
    </row>
    <row r="122" spans="1:11" x14ac:dyDescent="0.35">
      <c r="C122" s="11">
        <v>22</v>
      </c>
      <c r="D122" s="12">
        <v>2.2799999999999999E-3</v>
      </c>
      <c r="E122" s="27"/>
      <c r="F122" s="11">
        <v>5</v>
      </c>
      <c r="G122" s="42">
        <v>7.8203406479932749E-2</v>
      </c>
      <c r="H122" s="45">
        <f t="shared" si="11"/>
        <v>0.68627235079720261</v>
      </c>
      <c r="I122" s="48">
        <f t="shared" si="9"/>
        <v>2169.9302661200832</v>
      </c>
      <c r="J122" s="48">
        <f t="shared" si="10"/>
        <v>215.82761549552001</v>
      </c>
    </row>
    <row r="123" spans="1:11" x14ac:dyDescent="0.35">
      <c r="C123" s="11">
        <v>23</v>
      </c>
      <c r="D123" s="12">
        <v>2.2000000000000001E-3</v>
      </c>
      <c r="E123" s="27"/>
      <c r="F123" s="11">
        <v>6</v>
      </c>
      <c r="G123" s="42">
        <v>8.0333174001062824E-2</v>
      </c>
      <c r="H123" s="45">
        <f t="shared" si="11"/>
        <v>0.62900446229286311</v>
      </c>
      <c r="I123" s="48">
        <f t="shared" si="9"/>
        <v>2127.841583954601</v>
      </c>
      <c r="J123" s="48">
        <f t="shared" si="10"/>
        <v>206.98117076946158</v>
      </c>
    </row>
    <row r="124" spans="1:11" x14ac:dyDescent="0.35">
      <c r="C124" s="11">
        <v>24</v>
      </c>
      <c r="D124" s="12">
        <v>2.1299999999999999E-3</v>
      </c>
      <c r="E124" s="27"/>
      <c r="F124" s="11">
        <v>7</v>
      </c>
      <c r="G124" s="42">
        <v>8.2360437933803918E-2</v>
      </c>
      <c r="H124" s="45">
        <f t="shared" si="11"/>
        <v>0.57464103033575631</v>
      </c>
      <c r="I124" s="48">
        <f t="shared" si="9"/>
        <v>2089.5014914185267</v>
      </c>
      <c r="J124" s="48">
        <f t="shared" si="10"/>
        <v>197.7983478064815</v>
      </c>
    </row>
    <row r="125" spans="1:11" x14ac:dyDescent="0.35">
      <c r="C125" s="11">
        <v>25</v>
      </c>
      <c r="D125" s="12">
        <v>2.0799999999999998E-3</v>
      </c>
      <c r="E125" s="27"/>
      <c r="F125" s="11">
        <v>8</v>
      </c>
      <c r="G125" s="42">
        <v>8.4294613649744721E-2</v>
      </c>
      <c r="H125" s="45">
        <f t="shared" si="11"/>
        <v>0.52338539194282485</v>
      </c>
      <c r="I125" s="48">
        <f t="shared" si="9"/>
        <v>2052.1206220124373</v>
      </c>
      <c r="J125" s="48">
        <f t="shared" si="10"/>
        <v>188.39153187868851</v>
      </c>
    </row>
    <row r="126" spans="1:11" x14ac:dyDescent="0.35">
      <c r="C126" s="11">
        <v>26</v>
      </c>
      <c r="D126" s="12">
        <v>2.0500000000000002E-3</v>
      </c>
      <c r="E126" s="27"/>
      <c r="F126" s="11">
        <v>9</v>
      </c>
      <c r="G126" s="42">
        <v>8.6143876024310617E-2</v>
      </c>
      <c r="H126" s="45">
        <f t="shared" si="11"/>
        <v>0.47535030745829165</v>
      </c>
      <c r="I126" s="48">
        <f t="shared" si="9"/>
        <v>2013.5068023180668</v>
      </c>
      <c r="J126" s="48">
        <f t="shared" si="10"/>
        <v>178.86059044001607</v>
      </c>
    </row>
    <row r="127" spans="1:11" x14ac:dyDescent="0.35">
      <c r="C127" s="11">
        <v>27</v>
      </c>
      <c r="D127" s="12">
        <v>2.0400000000000001E-3</v>
      </c>
      <c r="E127" s="27"/>
      <c r="F127" s="11">
        <v>10</v>
      </c>
      <c r="G127" s="42">
        <v>8.7915368217249254E-2</v>
      </c>
      <c r="H127" s="45">
        <f t="shared" si="11"/>
        <v>0.43057507140157669</v>
      </c>
      <c r="I127" s="48">
        <f t="shared" si="9"/>
        <v>1975.782542282685</v>
      </c>
      <c r="J127" s="48">
        <f t="shared" si="10"/>
        <v>169.29366294052789</v>
      </c>
    </row>
    <row r="128" spans="1:11" x14ac:dyDescent="0.35">
      <c r="C128" s="11">
        <v>28</v>
      </c>
      <c r="D128" s="12">
        <v>2.0500000000000002E-3</v>
      </c>
      <c r="E128" s="27"/>
      <c r="F128" s="11">
        <v>11</v>
      </c>
      <c r="G128" s="42">
        <v>8.9615368297657122E-2</v>
      </c>
      <c r="H128" s="45">
        <f t="shared" si="11"/>
        <v>0.389040289285846</v>
      </c>
      <c r="I128" s="48">
        <f t="shared" si="9"/>
        <v>1933.2675748537049</v>
      </c>
      <c r="J128" s="48">
        <f t="shared" si="10"/>
        <v>159.7663376745115</v>
      </c>
    </row>
    <row r="129" spans="3:10" x14ac:dyDescent="0.35">
      <c r="C129" s="11">
        <v>29</v>
      </c>
      <c r="D129" s="12">
        <v>2.0799999999999998E-3</v>
      </c>
      <c r="E129" s="27"/>
      <c r="F129" s="11">
        <v>12</v>
      </c>
      <c r="G129" s="42">
        <v>9.1249423532388269E-2</v>
      </c>
      <c r="H129" s="45">
        <f t="shared" si="11"/>
        <v>0.35068054473483612</v>
      </c>
      <c r="I129" s="48">
        <f t="shared" si="9"/>
        <v>1891.3985743010774</v>
      </c>
      <c r="J129" s="48">
        <f t="shared" si="10"/>
        <v>150.34591749905968</v>
      </c>
    </row>
    <row r="130" spans="3:10" x14ac:dyDescent="0.35">
      <c r="C130" s="11">
        <v>30</v>
      </c>
      <c r="D130" s="12">
        <v>2.1199999999999999E-3</v>
      </c>
      <c r="E130" s="27"/>
      <c r="F130" s="11">
        <v>13</v>
      </c>
      <c r="G130" s="42">
        <v>9.2822459587926218E-2</v>
      </c>
      <c r="H130" s="45">
        <f t="shared" si="11"/>
        <v>0.31539517411459389</v>
      </c>
      <c r="I130" s="48">
        <f t="shared" si="9"/>
        <v>1842.599554990094</v>
      </c>
      <c r="J130" s="48">
        <f t="shared" si="10"/>
        <v>141.08743594258942</v>
      </c>
    </row>
    <row r="131" spans="3:10" x14ac:dyDescent="0.35">
      <c r="C131" s="11">
        <v>31</v>
      </c>
      <c r="D131" s="12">
        <v>2.1700000000000001E-3</v>
      </c>
      <c r="E131" s="27"/>
      <c r="F131" s="11">
        <v>14</v>
      </c>
      <c r="G131" s="42">
        <v>9.4338870067482483E-2</v>
      </c>
      <c r="H131" s="45">
        <f t="shared" si="11"/>
        <v>0.28305735609522065</v>
      </c>
      <c r="I131" s="48">
        <f t="shared" si="9"/>
        <v>1791.9228034499542</v>
      </c>
      <c r="J131" s="48">
        <f t="shared" si="10"/>
        <v>132.04060814144896</v>
      </c>
    </row>
    <row r="132" spans="3:10" x14ac:dyDescent="0.35">
      <c r="C132" s="11">
        <v>32</v>
      </c>
      <c r="D132" s="12">
        <v>2.2499999999999998E-3</v>
      </c>
      <c r="E132" s="27"/>
      <c r="F132" s="11">
        <v>15</v>
      </c>
      <c r="G132" s="42">
        <v>9.5802590485422848E-2</v>
      </c>
      <c r="H132" s="45">
        <f t="shared" si="11"/>
        <v>0.25352171167496446</v>
      </c>
      <c r="I132" s="48">
        <f t="shared" si="9"/>
        <v>1738.2241712865143</v>
      </c>
      <c r="J132" s="48">
        <f t="shared" si="10"/>
        <v>123.24464067787544</v>
      </c>
    </row>
    <row r="133" spans="3:10" x14ac:dyDescent="0.35">
      <c r="C133" s="11">
        <v>33</v>
      </c>
      <c r="D133" s="12">
        <v>2.33E-3</v>
      </c>
      <c r="E133" s="27"/>
      <c r="F133" s="11">
        <v>16</v>
      </c>
      <c r="G133" s="42">
        <v>9.7217159816253604E-2</v>
      </c>
      <c r="H133" s="45">
        <f t="shared" si="11"/>
        <v>0.22663059686256412</v>
      </c>
      <c r="I133" s="48">
        <f t="shared" si="9"/>
        <v>1680.8463356681207</v>
      </c>
      <c r="J133" s="48">
        <f t="shared" si="10"/>
        <v>114.73207025484142</v>
      </c>
    </row>
    <row r="134" spans="3:10" x14ac:dyDescent="0.35">
      <c r="C134" s="11">
        <v>34</v>
      </c>
      <c r="D134" s="12">
        <v>2.4399999999999999E-3</v>
      </c>
      <c r="E134" s="27"/>
      <c r="F134" s="11">
        <v>17</v>
      </c>
      <c r="G134" s="42">
        <v>9.8585772041490896E-2</v>
      </c>
      <c r="H134" s="45">
        <f t="shared" si="11"/>
        <v>0.20221925600161864</v>
      </c>
      <c r="I134" s="48">
        <f t="shared" si="9"/>
        <v>1621.1876302365031</v>
      </c>
      <c r="J134" s="48">
        <f t="shared" si="10"/>
        <v>106.5293503534282</v>
      </c>
    </row>
    <row r="135" spans="3:10" x14ac:dyDescent="0.35">
      <c r="C135" s="11">
        <v>35</v>
      </c>
      <c r="D135" s="12">
        <v>2.5600000000000002E-3</v>
      </c>
      <c r="E135" s="27">
        <v>1</v>
      </c>
      <c r="F135" s="11">
        <v>18</v>
      </c>
      <c r="G135" s="42">
        <v>9.9911319583663116E-2</v>
      </c>
      <c r="H135" s="45">
        <f t="shared" si="11"/>
        <v>0.18011998913043301</v>
      </c>
      <c r="I135" s="48">
        <f t="shared" si="9"/>
        <v>1560.1582845547978</v>
      </c>
      <c r="J135" s="48">
        <f t="shared" si="10"/>
        <v>98.656405799426437</v>
      </c>
    </row>
    <row r="136" spans="3:10" x14ac:dyDescent="0.35">
      <c r="C136" s="11">
        <v>36</v>
      </c>
      <c r="D136" s="12">
        <v>2.7200000000000002E-3</v>
      </c>
      <c r="E136" s="27">
        <f>E135*(1-D135)</f>
        <v>0.99743999999999999</v>
      </c>
      <c r="F136" s="11">
        <v>19</v>
      </c>
      <c r="G136" s="42">
        <v>0.10119643011304469</v>
      </c>
      <c r="H136" s="45">
        <f t="shared" si="11"/>
        <v>0.16016547221051144</v>
      </c>
      <c r="I136" s="48">
        <f t="shared" si="9"/>
        <v>1498.314728132646</v>
      </c>
      <c r="J136" s="48">
        <f t="shared" si="10"/>
        <v>91.127526858774772</v>
      </c>
    </row>
    <row r="137" spans="3:10" x14ac:dyDescent="0.35">
      <c r="C137" s="11">
        <v>37</v>
      </c>
      <c r="D137" s="12">
        <v>2.8600000000000001E-3</v>
      </c>
      <c r="E137" s="27">
        <f t="shared" ref="E137:E200" si="12">E136*(1-D136)</f>
        <v>0.99472696319999998</v>
      </c>
      <c r="F137" s="11">
        <v>20</v>
      </c>
      <c r="G137" s="42">
        <v>0.10244349790471981</v>
      </c>
      <c r="H137" s="45">
        <f t="shared" si="11"/>
        <v>0.14219135484715054</v>
      </c>
      <c r="I137" s="48">
        <f t="shared" si="9"/>
        <v>1435.9691573784398</v>
      </c>
      <c r="J137" s="48">
        <f t="shared" si="10"/>
        <v>83.952178886549063</v>
      </c>
    </row>
    <row r="138" spans="3:10" x14ac:dyDescent="0.35">
      <c r="C138" s="11">
        <v>38</v>
      </c>
      <c r="D138" s="12">
        <v>3.0400000000000002E-3</v>
      </c>
      <c r="E138" s="27">
        <f t="shared" si="12"/>
        <v>0.99188204408524805</v>
      </c>
      <c r="F138" s="11">
        <v>21</v>
      </c>
      <c r="G138" s="42">
        <v>0.10365471068645839</v>
      </c>
      <c r="H138" s="45">
        <f t="shared" si="11"/>
        <v>0.12603824650743375</v>
      </c>
      <c r="I138" s="48">
        <f t="shared" si="9"/>
        <v>1373.2767374410178</v>
      </c>
      <c r="J138" s="48">
        <f t="shared" si="10"/>
        <v>77.135727189512437</v>
      </c>
    </row>
    <row r="139" spans="3:10" x14ac:dyDescent="0.35">
      <c r="C139" s="11">
        <v>39</v>
      </c>
      <c r="D139" s="12">
        <v>3.2499999999999999E-3</v>
      </c>
      <c r="E139" s="27">
        <f t="shared" si="12"/>
        <v>0.98886672267122888</v>
      </c>
      <c r="F139" s="11">
        <v>22</v>
      </c>
      <c r="G139" s="42">
        <v>0.10483207273381266</v>
      </c>
      <c r="H139" s="45">
        <f t="shared" si="11"/>
        <v>0.11155318938576787</v>
      </c>
      <c r="I139" s="48">
        <f t="shared" si="9"/>
        <v>1312.011466675672</v>
      </c>
      <c r="J139" s="48">
        <f t="shared" si="10"/>
        <v>70.680079063647995</v>
      </c>
    </row>
    <row r="140" spans="3:10" x14ac:dyDescent="0.35">
      <c r="C140" s="11">
        <v>40</v>
      </c>
      <c r="D140" s="12">
        <v>3.5000000000000001E-3</v>
      </c>
      <c r="E140" s="27">
        <f t="shared" si="12"/>
        <v>0.98565290582254739</v>
      </c>
      <c r="F140" s="11">
        <v>23</v>
      </c>
      <c r="G140" s="42">
        <v>0.1059774248248268</v>
      </c>
      <c r="H140" s="45">
        <f t="shared" si="11"/>
        <v>9.8590704088064834E-2</v>
      </c>
      <c r="I140" s="48">
        <f t="shared" si="9"/>
        <v>1250.0188524657717</v>
      </c>
      <c r="J140" s="48">
        <f t="shared" si="10"/>
        <v>64.582934852413359</v>
      </c>
    </row>
    <row r="141" spans="3:10" x14ac:dyDescent="0.35">
      <c r="C141" s="11">
        <v>41</v>
      </c>
      <c r="D141" s="12">
        <v>3.7699999999999999E-3</v>
      </c>
      <c r="E141" s="27">
        <f t="shared" si="12"/>
        <v>0.98220312065216853</v>
      </c>
      <c r="F141" s="11">
        <v>24</v>
      </c>
      <c r="G141" s="42">
        <v>0.10709246155324412</v>
      </c>
      <c r="H141" s="45">
        <f t="shared" si="11"/>
        <v>8.7013483267904382E-2</v>
      </c>
      <c r="I141" s="48">
        <f t="shared" si="9"/>
        <v>1188.0469449157151</v>
      </c>
      <c r="J141" s="48">
        <f t="shared" si="10"/>
        <v>58.841246333476228</v>
      </c>
    </row>
    <row r="142" spans="3:10" x14ac:dyDescent="0.35">
      <c r="C142" s="11">
        <v>42</v>
      </c>
      <c r="D142" s="12">
        <v>4.0800000000000003E-3</v>
      </c>
      <c r="E142" s="27">
        <f t="shared" si="12"/>
        <v>0.97850021488730976</v>
      </c>
      <c r="F142" s="11">
        <v>25</v>
      </c>
      <c r="G142" s="42">
        <v>0.10817874640901437</v>
      </c>
      <c r="H142" s="45">
        <f t="shared" si="11"/>
        <v>7.6692798278414034E-2</v>
      </c>
      <c r="I142" s="48">
        <f t="shared" si="9"/>
        <v>1126.4943867240304</v>
      </c>
      <c r="J142" s="48">
        <f t="shared" si="10"/>
        <v>53.44939207524633</v>
      </c>
    </row>
    <row r="143" spans="3:10" x14ac:dyDescent="0.35">
      <c r="C143" s="11">
        <v>43</v>
      </c>
      <c r="D143" s="12">
        <v>4.4299999999999999E-3</v>
      </c>
      <c r="E143" s="27">
        <f t="shared" si="12"/>
        <v>0.97450793401056957</v>
      </c>
      <c r="F143" s="11">
        <v>26</v>
      </c>
      <c r="G143" s="42">
        <v>0.10923772496294443</v>
      </c>
      <c r="H143" s="45">
        <f t="shared" si="11"/>
        <v>6.7508674799524659E-2</v>
      </c>
      <c r="I143" s="48">
        <f t="shared" si="9"/>
        <v>1064.5762509905073</v>
      </c>
      <c r="J143" s="48">
        <f t="shared" si="10"/>
        <v>48.399789680313717</v>
      </c>
    </row>
    <row r="144" spans="3:10" x14ac:dyDescent="0.35">
      <c r="C144" s="11">
        <v>44</v>
      </c>
      <c r="D144" s="12">
        <v>4.8199999999999996E-3</v>
      </c>
      <c r="E144" s="27">
        <f t="shared" si="12"/>
        <v>0.97019086386290265</v>
      </c>
      <c r="F144" s="11">
        <v>27</v>
      </c>
      <c r="G144" s="42">
        <v>0.11027073643449847</v>
      </c>
      <c r="H144" s="45">
        <f t="shared" si="11"/>
        <v>5.9349885236418126E-2</v>
      </c>
      <c r="I144" s="48">
        <f t="shared" si="9"/>
        <v>1002.7598312422443</v>
      </c>
      <c r="J144" s="48">
        <f t="shared" si="10"/>
        <v>43.684295937090539</v>
      </c>
    </row>
    <row r="145" spans="3:10" x14ac:dyDescent="0.35">
      <c r="C145" s="11">
        <v>45</v>
      </c>
      <c r="D145" s="12">
        <v>5.2599999999999999E-3</v>
      </c>
      <c r="E145" s="27">
        <f t="shared" si="12"/>
        <v>0.96551454389908342</v>
      </c>
      <c r="F145" s="11">
        <v>28</v>
      </c>
      <c r="G145" s="42">
        <v>0.11127902387499437</v>
      </c>
      <c r="H145" s="45">
        <f t="shared" si="11"/>
        <v>5.2113798420055563E-2</v>
      </c>
      <c r="I145" s="48">
        <f t="shared" si="9"/>
        <v>940.64188655135183</v>
      </c>
      <c r="J145" s="48">
        <f t="shared" si="10"/>
        <v>39.293369890526478</v>
      </c>
    </row>
    <row r="146" spans="3:10" x14ac:dyDescent="0.35">
      <c r="C146" s="11">
        <v>46</v>
      </c>
      <c r="D146" s="12">
        <v>5.7400000000000003E-3</v>
      </c>
      <c r="E146" s="27">
        <f t="shared" si="12"/>
        <v>0.96043593739817423</v>
      </c>
      <c r="F146" s="11">
        <v>29</v>
      </c>
      <c r="G146" s="42">
        <v>0.11226374316043143</v>
      </c>
      <c r="H146" s="45">
        <f t="shared" si="11"/>
        <v>4.5706120721999303E-2</v>
      </c>
      <c r="I146" s="48">
        <f t="shared" si="9"/>
        <v>879.05217828906405</v>
      </c>
      <c r="J146" s="48">
        <f t="shared" si="10"/>
        <v>35.217183609643328</v>
      </c>
    </row>
    <row r="147" spans="3:10" x14ac:dyDescent="0.35">
      <c r="C147" s="11">
        <v>47</v>
      </c>
      <c r="D147" s="12">
        <v>6.28E-3</v>
      </c>
      <c r="E147" s="27">
        <f t="shared" si="12"/>
        <v>0.95492303511750876</v>
      </c>
      <c r="F147" s="11">
        <v>30</v>
      </c>
      <c r="G147" s="42">
        <v>0.11322597095712007</v>
      </c>
      <c r="H147" s="45">
        <f t="shared" si="11"/>
        <v>4.0040557063625352E-2</v>
      </c>
      <c r="I147" s="48">
        <f t="shared" si="9"/>
        <v>817.73280660875957</v>
      </c>
      <c r="J147" s="48">
        <f t="shared" si="10"/>
        <v>31.444576554236491</v>
      </c>
    </row>
    <row r="148" spans="3:10" x14ac:dyDescent="0.35">
      <c r="C148" s="11">
        <v>48</v>
      </c>
      <c r="D148" s="12">
        <v>6.8599999999999998E-3</v>
      </c>
      <c r="E148" s="27">
        <f t="shared" si="12"/>
        <v>0.94892611845697084</v>
      </c>
      <c r="F148" s="11">
        <v>31</v>
      </c>
      <c r="G148" s="42">
        <v>0.11416671179777155</v>
      </c>
      <c r="H148" s="45">
        <f t="shared" si="11"/>
        <v>3.5038415390653437E-2</v>
      </c>
      <c r="I148" s="48">
        <f t="shared" si="9"/>
        <v>756.92337360955128</v>
      </c>
      <c r="J148" s="48">
        <f t="shared" si="10"/>
        <v>27.964393115389928</v>
      </c>
    </row>
    <row r="149" spans="3:10" x14ac:dyDescent="0.35">
      <c r="C149" s="11">
        <v>49</v>
      </c>
      <c r="D149" s="12">
        <v>7.4999999999999997E-3</v>
      </c>
      <c r="E149" s="27">
        <f t="shared" si="12"/>
        <v>0.94241648528435606</v>
      </c>
      <c r="F149" s="11">
        <v>32</v>
      </c>
      <c r="G149" s="42">
        <v>0.11508690438465255</v>
      </c>
      <c r="H149" s="45">
        <f t="shared" si="11"/>
        <v>3.0628173932856908E-2</v>
      </c>
      <c r="I149" s="48">
        <f t="shared" si="9"/>
        <v>697.1010370892908</v>
      </c>
      <c r="J149" s="48">
        <f t="shared" si="10"/>
        <v>24.765103586975798</v>
      </c>
    </row>
    <row r="150" spans="3:10" x14ac:dyDescent="0.35">
      <c r="C150" s="11">
        <v>50</v>
      </c>
      <c r="D150" s="12">
        <v>8.2000000000000007E-3</v>
      </c>
      <c r="E150" s="27">
        <f t="shared" si="12"/>
        <v>0.93534836164472346</v>
      </c>
      <c r="F150" s="11">
        <v>33</v>
      </c>
      <c r="G150" s="42">
        <v>0.11598742721895737</v>
      </c>
      <c r="H150" s="45">
        <f t="shared" si="11"/>
        <v>2.6745026911520524E-2</v>
      </c>
      <c r="I150" s="48">
        <f t="shared" si="9"/>
        <v>638.35133937348473</v>
      </c>
      <c r="J150" s="48">
        <f t="shared" si="10"/>
        <v>21.834630007962616</v>
      </c>
    </row>
    <row r="151" spans="3:10" x14ac:dyDescent="0.35">
      <c r="C151" s="11">
        <v>51</v>
      </c>
      <c r="D151" s="12">
        <v>8.9599999999999992E-3</v>
      </c>
      <c r="E151" s="27">
        <f t="shared" si="12"/>
        <v>0.92767850507923677</v>
      </c>
      <c r="F151" s="11">
        <v>34</v>
      </c>
      <c r="G151" s="42">
        <v>0.11686910364102129</v>
      </c>
      <c r="H151" s="45">
        <f t="shared" si="11"/>
        <v>2.3330421231420422E-2</v>
      </c>
      <c r="I151" s="48">
        <f t="shared" si="9"/>
        <v>581.2933378134876</v>
      </c>
      <c r="J151" s="48">
        <f t="shared" si="10"/>
        <v>19.160924134740586</v>
      </c>
    </row>
    <row r="152" spans="3:10" x14ac:dyDescent="0.35">
      <c r="C152" s="11">
        <v>52</v>
      </c>
      <c r="D152" s="12">
        <v>9.7900000000000001E-3</v>
      </c>
      <c r="E152" s="27">
        <f t="shared" si="12"/>
        <v>0.9193665056737268</v>
      </c>
      <c r="F152" s="11">
        <v>35</v>
      </c>
      <c r="G152" s="42">
        <v>0.1177327063538529</v>
      </c>
      <c r="H152" s="45">
        <f t="shared" si="11"/>
        <v>2.0331594040578573E-2</v>
      </c>
      <c r="I152" s="48">
        <f t="shared" si="9"/>
        <v>526.04582218229393</v>
      </c>
      <c r="J152" s="48">
        <f t="shared" si="10"/>
        <v>16.731328333381249</v>
      </c>
    </row>
    <row r="153" spans="3:10" x14ac:dyDescent="0.35">
      <c r="C153" s="11">
        <v>53</v>
      </c>
      <c r="D153" s="12">
        <v>1.0699999999999999E-2</v>
      </c>
      <c r="E153" s="27">
        <f t="shared" si="12"/>
        <v>0.91036590758318103</v>
      </c>
      <c r="F153" s="11">
        <v>36</v>
      </c>
      <c r="G153" s="42">
        <v>0.11857896149226954</v>
      </c>
      <c r="H153" s="45">
        <f t="shared" si="11"/>
        <v>1.7701118804225958E-2</v>
      </c>
      <c r="I153" s="48">
        <f t="shared" si="9"/>
        <v>473.09540630242441</v>
      </c>
      <c r="J153" s="48">
        <f t="shared" si="10"/>
        <v>14.533293168942926</v>
      </c>
    </row>
    <row r="154" spans="3:10" x14ac:dyDescent="0.35">
      <c r="C154" s="11">
        <v>54</v>
      </c>
      <c r="D154" s="12">
        <v>1.17E-2</v>
      </c>
      <c r="E154" s="27">
        <f t="shared" si="12"/>
        <v>0.90062499237204097</v>
      </c>
      <c r="F154" s="11">
        <v>37</v>
      </c>
      <c r="G154" s="42">
        <v>0.1194085522913329</v>
      </c>
      <c r="H154" s="45">
        <f t="shared" si="11"/>
        <v>1.5396465667852657E-2</v>
      </c>
      <c r="I154" s="48">
        <f t="shared" si="9"/>
        <v>422.92666388143357</v>
      </c>
      <c r="J154" s="48">
        <f t="shared" si="10"/>
        <v>12.553867941601872</v>
      </c>
    </row>
    <row r="155" spans="3:10" x14ac:dyDescent="0.35">
      <c r="C155" s="11">
        <v>55</v>
      </c>
      <c r="D155" s="12">
        <v>1.2800000000000001E-2</v>
      </c>
      <c r="E155" s="27">
        <f t="shared" si="12"/>
        <v>0.89008767996128801</v>
      </c>
      <c r="F155" s="11">
        <v>38</v>
      </c>
      <c r="G155" s="42">
        <v>0.12022212240052127</v>
      </c>
      <c r="H155" s="45">
        <f t="shared" si="11"/>
        <v>1.3379580330809087E-2</v>
      </c>
      <c r="I155" s="48">
        <f t="shared" si="9"/>
        <v>375.86358099707553</v>
      </c>
      <c r="J155" s="48">
        <f t="shared" si="10"/>
        <v>10.779673884395626</v>
      </c>
    </row>
    <row r="156" spans="3:10" x14ac:dyDescent="0.35">
      <c r="C156" s="11">
        <v>56</v>
      </c>
      <c r="D156" s="12">
        <v>1.401E-2</v>
      </c>
      <c r="E156" s="27">
        <f t="shared" si="12"/>
        <v>0.87869455765778348</v>
      </c>
      <c r="F156" s="11">
        <v>39</v>
      </c>
      <c r="G156" s="42">
        <v>0.12102027888391569</v>
      </c>
      <c r="H156" s="45">
        <f t="shared" si="11"/>
        <v>1.1616484373854525E-2</v>
      </c>
      <c r="I156" s="48">
        <f t="shared" si="9"/>
        <v>331.94292059408946</v>
      </c>
      <c r="J156" s="48">
        <f t="shared" si="10"/>
        <v>9.1971220436102072</v>
      </c>
    </row>
    <row r="157" spans="3:10" x14ac:dyDescent="0.35">
      <c r="C157" s="11">
        <v>57</v>
      </c>
      <c r="D157" s="12">
        <v>1.536E-2</v>
      </c>
      <c r="E157" s="27">
        <f t="shared" si="12"/>
        <v>0.86638404690499793</v>
      </c>
      <c r="F157" s="11">
        <v>40</v>
      </c>
      <c r="G157" s="42">
        <v>0.1218035949414335</v>
      </c>
      <c r="H157" s="45">
        <f t="shared" si="11"/>
        <v>1.007689894281855E-2</v>
      </c>
      <c r="I157" s="48">
        <f t="shared" si="9"/>
        <v>291.20182582680559</v>
      </c>
      <c r="J157" s="48">
        <f t="shared" si="10"/>
        <v>7.7928763708635174</v>
      </c>
    </row>
    <row r="158" spans="3:10" x14ac:dyDescent="0.35">
      <c r="C158" s="11">
        <v>58</v>
      </c>
      <c r="D158" s="12">
        <v>1.6840000000000001E-2</v>
      </c>
      <c r="E158" s="27">
        <f t="shared" si="12"/>
        <v>0.85307638794453711</v>
      </c>
      <c r="F158" s="11">
        <v>41</v>
      </c>
      <c r="G158" s="42">
        <v>0.12257261238166642</v>
      </c>
      <c r="H158" s="45">
        <f t="shared" si="11"/>
        <v>8.7338928517682376E-3</v>
      </c>
      <c r="I158" s="48">
        <f t="shared" si="9"/>
        <v>253.65343356414905</v>
      </c>
      <c r="J158" s="48">
        <f t="shared" si="10"/>
        <v>6.5538487036585495</v>
      </c>
    </row>
    <row r="159" spans="3:10" x14ac:dyDescent="0.35">
      <c r="C159" s="11">
        <v>59</v>
      </c>
      <c r="D159" s="12">
        <v>1.847E-2</v>
      </c>
      <c r="E159" s="27">
        <f t="shared" si="12"/>
        <v>0.83871058157155109</v>
      </c>
      <c r="F159" s="11">
        <v>42</v>
      </c>
      <c r="G159" s="42">
        <v>0.12332784387304367</v>
      </c>
      <c r="H159" s="45">
        <f t="shared" si="11"/>
        <v>7.5635555022303567E-3</v>
      </c>
      <c r="I159" s="48">
        <f t="shared" si="9"/>
        <v>219.22820485639124</v>
      </c>
      <c r="J159" s="48">
        <f t="shared" si="10"/>
        <v>5.4672296751120157</v>
      </c>
    </row>
    <row r="160" spans="3:10" x14ac:dyDescent="0.35">
      <c r="C160" s="11">
        <v>60</v>
      </c>
      <c r="D160" s="12">
        <v>2.027E-2</v>
      </c>
      <c r="E160" s="27">
        <f t="shared" si="12"/>
        <v>0.82321959712992454</v>
      </c>
      <c r="F160" s="11">
        <v>43</v>
      </c>
      <c r="G160" s="42">
        <v>0.12406977499674747</v>
      </c>
      <c r="H160" s="45">
        <f t="shared" si="11"/>
        <v>6.5446944932551748E-3</v>
      </c>
      <c r="I160" s="48">
        <f t="shared" si="9"/>
        <v>187.84837893669794</v>
      </c>
      <c r="J160" s="48">
        <f t="shared" si="10"/>
        <v>4.5206363049128049</v>
      </c>
    </row>
    <row r="161" spans="3:10" x14ac:dyDescent="0.35">
      <c r="C161" s="11">
        <v>61</v>
      </c>
      <c r="D161" s="12">
        <v>2.2239999999999999E-2</v>
      </c>
      <c r="E161" s="27">
        <f t="shared" si="12"/>
        <v>0.80653293589610098</v>
      </c>
      <c r="F161" s="11">
        <v>44</v>
      </c>
      <c r="G161" s="42">
        <v>0.12479886612196904</v>
      </c>
      <c r="H161" s="45">
        <f t="shared" si="11"/>
        <v>5.6585573968787562E-3</v>
      </c>
      <c r="I161" s="48">
        <f t="shared" si="9"/>
        <v>159.43290557420409</v>
      </c>
      <c r="J161" s="48">
        <f t="shared" si="10"/>
        <v>3.7021180985850481</v>
      </c>
    </row>
    <row r="162" spans="3:10" x14ac:dyDescent="0.35">
      <c r="C162" s="11">
        <v>62</v>
      </c>
      <c r="D162" s="12">
        <v>2.4400000000000002E-2</v>
      </c>
      <c r="E162" s="27">
        <f t="shared" si="12"/>
        <v>0.78859564340177168</v>
      </c>
      <c r="F162" s="11">
        <v>45</v>
      </c>
      <c r="G162" s="42">
        <v>0.12551555412164103</v>
      </c>
      <c r="H162" s="45">
        <f t="shared" si="11"/>
        <v>4.8885768743967004E-3</v>
      </c>
      <c r="I162" s="48">
        <f t="shared" si="9"/>
        <v>133.89765375212161</v>
      </c>
      <c r="J162" s="48">
        <f t="shared" si="10"/>
        <v>3.0001487951071479</v>
      </c>
    </row>
    <row r="163" spans="3:10" x14ac:dyDescent="0.35">
      <c r="C163" s="11">
        <v>63</v>
      </c>
      <c r="D163" s="12">
        <v>2.6749999999999999E-2</v>
      </c>
      <c r="E163" s="27">
        <f t="shared" si="12"/>
        <v>0.76935390970276851</v>
      </c>
      <c r="F163" s="11">
        <v>46</v>
      </c>
      <c r="G163" s="42">
        <v>0.12622025394465891</v>
      </c>
      <c r="H163" s="45">
        <f t="shared" si="11"/>
        <v>4.2201380930902144E-3</v>
      </c>
      <c r="I163" s="48">
        <f t="shared" si="9"/>
        <v>111.16147611146805</v>
      </c>
      <c r="J163" s="48">
        <f t="shared" si="10"/>
        <v>2.403613864271875</v>
      </c>
    </row>
    <row r="164" spans="3:10" x14ac:dyDescent="0.35">
      <c r="C164" s="11">
        <v>64</v>
      </c>
      <c r="D164" s="12">
        <v>2.9319999999999999E-2</v>
      </c>
      <c r="E164" s="27">
        <f t="shared" si="12"/>
        <v>0.74877369261821947</v>
      </c>
      <c r="F164" s="11">
        <v>47</v>
      </c>
      <c r="G164" s="42">
        <v>0.12691336005875908</v>
      </c>
      <c r="H164" s="45">
        <f t="shared" si="11"/>
        <v>3.6403672554348181E-3</v>
      </c>
      <c r="I164" s="48">
        <f t="shared" si="9"/>
        <v>91.110270059836679</v>
      </c>
      <c r="J164" s="48">
        <f t="shared" si="10"/>
        <v>1.9017801253221591</v>
      </c>
    </row>
    <row r="165" spans="3:10" x14ac:dyDescent="0.35">
      <c r="C165" s="11">
        <v>65</v>
      </c>
      <c r="D165" s="12">
        <v>3.211E-2</v>
      </c>
      <c r="E165" s="27">
        <f t="shared" si="12"/>
        <v>0.72681964795065324</v>
      </c>
      <c r="F165" s="11">
        <v>48</v>
      </c>
      <c r="G165" s="42">
        <v>0.12759524777661654</v>
      </c>
      <c r="H165" s="45">
        <f t="shared" si="11"/>
        <v>3.1379399603709249E-3</v>
      </c>
      <c r="I165" s="48">
        <f t="shared" si="9"/>
        <v>73.636603779598943</v>
      </c>
      <c r="J165" s="48">
        <f t="shared" si="10"/>
        <v>1.4843545151418245</v>
      </c>
    </row>
    <row r="166" spans="3:10" x14ac:dyDescent="0.35">
      <c r="C166" s="11">
        <v>66</v>
      </c>
      <c r="D166" s="12">
        <v>3.5130000000000002E-2</v>
      </c>
      <c r="E166" s="27">
        <f t="shared" si="12"/>
        <v>0.70348146905495779</v>
      </c>
      <c r="F166" s="11">
        <v>49</v>
      </c>
      <c r="G166" s="42">
        <v>0.12826627447632327</v>
      </c>
      <c r="H166" s="45">
        <f t="shared" si="11"/>
        <v>2.7029080678747349E-3</v>
      </c>
      <c r="I166" s="48">
        <f t="shared" si="9"/>
        <v>58.604886099362396</v>
      </c>
      <c r="J166" s="48">
        <f t="shared" si="10"/>
        <v>1.1414453270229019</v>
      </c>
    </row>
    <row r="167" spans="3:10" x14ac:dyDescent="0.35">
      <c r="C167" s="11">
        <v>67</v>
      </c>
      <c r="D167" s="12">
        <v>3.8399999999999997E-2</v>
      </c>
      <c r="E167" s="27">
        <f t="shared" si="12"/>
        <v>0.67876816504705717</v>
      </c>
      <c r="F167" s="11">
        <v>50</v>
      </c>
      <c r="G167" s="42">
        <v>0.12892678072618444</v>
      </c>
      <c r="H167" s="45">
        <f t="shared" si="11"/>
        <v>2.3265437245220269E-3</v>
      </c>
      <c r="I167" s="48">
        <f t="shared" si="9"/>
        <v>45.861190574801057</v>
      </c>
      <c r="J167" s="48">
        <f t="shared" si="10"/>
        <v>0.86361952350058024</v>
      </c>
    </row>
    <row r="168" spans="3:10" x14ac:dyDescent="0.35">
      <c r="C168" s="11">
        <v>68</v>
      </c>
      <c r="D168" s="12">
        <v>4.1919999999999999E-2</v>
      </c>
      <c r="E168" s="27">
        <f t="shared" si="12"/>
        <v>0.65270346750925023</v>
      </c>
      <c r="F168" s="11">
        <v>51</v>
      </c>
      <c r="G168" s="42">
        <v>0.12957709132269454</v>
      </c>
      <c r="H168" s="45">
        <f t="shared" si="11"/>
        <v>2.0011992211653178E-3</v>
      </c>
      <c r="I168" s="48">
        <f t="shared" si="9"/>
        <v>35.232138971329618</v>
      </c>
      <c r="J168" s="48">
        <f t="shared" si="10"/>
        <v>0.64194226334132654</v>
      </c>
    </row>
    <row r="169" spans="3:10" x14ac:dyDescent="0.35">
      <c r="C169" s="11">
        <v>69</v>
      </c>
      <c r="D169" s="12">
        <v>4.5719999999999997E-2</v>
      </c>
      <c r="E169" s="27">
        <f t="shared" si="12"/>
        <v>0.62534213815126249</v>
      </c>
      <c r="F169" s="11">
        <v>52</v>
      </c>
      <c r="G169" s="42">
        <v>0.13021751624961386</v>
      </c>
      <c r="H169" s="45">
        <f t="shared" si="11"/>
        <v>1.7201813877430396E-3</v>
      </c>
      <c r="I169" s="48">
        <f t="shared" si="9"/>
        <v>26.5108132409405</v>
      </c>
      <c r="J169" s="48">
        <f t="shared" si="10"/>
        <v>0.46802929367407792</v>
      </c>
    </row>
    <row r="170" spans="3:10" x14ac:dyDescent="0.35">
      <c r="C170" s="11">
        <v>70</v>
      </c>
      <c r="D170" s="12">
        <v>4.9799999999999997E-2</v>
      </c>
      <c r="E170" s="27">
        <f t="shared" si="12"/>
        <v>0.59675149559498675</v>
      </c>
      <c r="F170" s="11">
        <v>53</v>
      </c>
      <c r="G170" s="42">
        <v>0.13084835156523339</v>
      </c>
      <c r="H170" s="45">
        <f t="shared" si="11"/>
        <v>1.4776392792273721E-3</v>
      </c>
      <c r="I170" s="48">
        <f t="shared" si="9"/>
        <v>19.516957506510501</v>
      </c>
      <c r="J170" s="48">
        <f t="shared" si="10"/>
        <v>0.33415759065567158</v>
      </c>
    </row>
    <row r="171" spans="3:10" x14ac:dyDescent="0.35">
      <c r="C171" s="11">
        <v>71</v>
      </c>
      <c r="D171" s="12">
        <v>5.4190000000000002E-2</v>
      </c>
      <c r="E171" s="27">
        <f t="shared" si="12"/>
        <v>0.56703327111435642</v>
      </c>
      <c r="F171" s="11">
        <v>54</v>
      </c>
      <c r="G171" s="42">
        <v>0.13146988022418676</v>
      </c>
      <c r="H171" s="45">
        <f t="shared" si="11"/>
        <v>1.2684639663916347E-3</v>
      </c>
      <c r="I171" s="48">
        <f t="shared" si="9"/>
        <v>14.030490687341132</v>
      </c>
      <c r="J171" s="48">
        <f t="shared" si="10"/>
        <v>0.23318655392934701</v>
      </c>
    </row>
    <row r="172" spans="3:10" x14ac:dyDescent="0.35">
      <c r="C172" s="11">
        <v>72</v>
      </c>
      <c r="D172" s="12">
        <v>5.8939999999999999E-2</v>
      </c>
      <c r="E172" s="27">
        <f t="shared" si="12"/>
        <v>0.53630573815266946</v>
      </c>
      <c r="F172" s="11">
        <v>55</v>
      </c>
      <c r="G172" s="42">
        <v>0.13208237283951788</v>
      </c>
      <c r="H172" s="45">
        <f t="shared" si="11"/>
        <v>1.0881993118576812E-3</v>
      </c>
      <c r="I172" s="48">
        <f t="shared" si="9"/>
        <v>9.8273048760376227</v>
      </c>
      <c r="J172" s="48">
        <f t="shared" si="10"/>
        <v>0.15871393711436405</v>
      </c>
    </row>
    <row r="173" spans="3:10" x14ac:dyDescent="0.35">
      <c r="C173" s="11">
        <v>73</v>
      </c>
      <c r="D173" s="12">
        <v>6.411E-2</v>
      </c>
      <c r="E173" s="27">
        <f t="shared" si="12"/>
        <v>0.50469587794595117</v>
      </c>
      <c r="F173" s="11">
        <v>56</v>
      </c>
      <c r="G173" s="42">
        <v>0.13268608839014268</v>
      </c>
      <c r="H173" s="45">
        <f t="shared" si="11"/>
        <v>9.3296268289994901E-4</v>
      </c>
      <c r="I173" s="48">
        <f t="shared" si="9"/>
        <v>6.6905115275377929</v>
      </c>
      <c r="J173" s="48">
        <f t="shared" si="10"/>
        <v>0.10512123655683947</v>
      </c>
    </row>
    <row r="174" spans="3:10" x14ac:dyDescent="0.35">
      <c r="C174" s="11">
        <v>74</v>
      </c>
      <c r="D174" s="12">
        <v>6.9739999999999996E-2</v>
      </c>
      <c r="E174" s="27">
        <f t="shared" si="12"/>
        <v>0.47233982521083623</v>
      </c>
      <c r="F174" s="11">
        <v>57</v>
      </c>
      <c r="G174" s="42">
        <v>0.13328127487833322</v>
      </c>
      <c r="H174" s="45">
        <f t="shared" si="11"/>
        <v>7.9937462545121875E-4</v>
      </c>
      <c r="I174" s="48">
        <f t="shared" si="9"/>
        <v>4.4162834673275038</v>
      </c>
      <c r="J174" s="48">
        <f t="shared" si="10"/>
        <v>6.7583551784879015E-2</v>
      </c>
    </row>
    <row r="175" spans="3:10" x14ac:dyDescent="0.35">
      <c r="C175" s="11">
        <v>75</v>
      </c>
      <c r="D175" s="12">
        <v>7.5880000000000003E-2</v>
      </c>
      <c r="E175" s="27">
        <f t="shared" si="12"/>
        <v>0.43939884580063249</v>
      </c>
      <c r="F175" s="11">
        <v>58</v>
      </c>
      <c r="G175" s="42">
        <v>0.13386816994140266</v>
      </c>
      <c r="H175" s="45">
        <f t="shared" si="11"/>
        <v>6.8449659690012561E-4</v>
      </c>
      <c r="I175" s="48">
        <f t="shared" si="9"/>
        <v>2.8179042656449913</v>
      </c>
      <c r="J175" s="48">
        <f t="shared" si="10"/>
        <v>4.2058883894056494E-2</v>
      </c>
    </row>
    <row r="176" spans="3:10" x14ac:dyDescent="0.35">
      <c r="C176" s="11">
        <v>76</v>
      </c>
      <c r="D176" s="12">
        <v>8.2589999999999997E-2</v>
      </c>
      <c r="E176" s="27">
        <f t="shared" si="12"/>
        <v>0.40605726138128051</v>
      </c>
      <c r="F176" s="11">
        <v>59</v>
      </c>
      <c r="G176" s="42">
        <v>0.13444700142136623</v>
      </c>
      <c r="H176" s="45">
        <f t="shared" si="11"/>
        <v>5.8577592722204445E-4</v>
      </c>
      <c r="I176" s="48">
        <f t="shared" si="9"/>
        <v>1.7327969063229269</v>
      </c>
      <c r="J176" s="48">
        <f t="shared" si="10"/>
        <v>2.5260224923447674E-2</v>
      </c>
    </row>
    <row r="177" spans="3:10" x14ac:dyDescent="0.35">
      <c r="C177" s="11">
        <v>77</v>
      </c>
      <c r="D177" s="12">
        <v>8.992E-2</v>
      </c>
      <c r="E177" s="27">
        <f t="shared" si="12"/>
        <v>0.37252099216380058</v>
      </c>
      <c r="F177" s="11">
        <v>60</v>
      </c>
      <c r="G177" s="42">
        <v>0.13501798789599639</v>
      </c>
      <c r="H177" s="45">
        <f t="shared" si="11"/>
        <v>5.0099724772472375E-4</v>
      </c>
      <c r="I177" s="48">
        <f t="shared" si="9"/>
        <v>1.0233265626881427</v>
      </c>
      <c r="J177" s="48">
        <f t="shared" si="10"/>
        <v>1.4592749673455007E-2</v>
      </c>
    </row>
    <row r="178" spans="3:10" x14ac:dyDescent="0.35">
      <c r="C178" s="11">
        <v>78</v>
      </c>
      <c r="D178" s="12">
        <v>9.7919999999999993E-2</v>
      </c>
      <c r="E178" s="27">
        <f t="shared" si="12"/>
        <v>0.33902390454843162</v>
      </c>
      <c r="F178" s="11">
        <v>61</v>
      </c>
      <c r="G178" s="42">
        <v>0.13558133917436932</v>
      </c>
      <c r="H178" s="45">
        <f t="shared" si="11"/>
        <v>4.2823969347510353E-4</v>
      </c>
      <c r="I178" s="48">
        <f t="shared" si="9"/>
        <v>0.57824402923608942</v>
      </c>
      <c r="J178" s="48">
        <f t="shared" si="10"/>
        <v>8.0795233677183609E-3</v>
      </c>
    </row>
    <row r="179" spans="3:10" x14ac:dyDescent="0.35">
      <c r="C179" s="11">
        <v>79</v>
      </c>
      <c r="D179" s="12">
        <v>0.10664</v>
      </c>
      <c r="E179" s="27">
        <f t="shared" si="12"/>
        <v>0.30582668381504918</v>
      </c>
      <c r="F179" s="11">
        <v>62</v>
      </c>
      <c r="G179" s="42">
        <v>0.13613725675971472</v>
      </c>
      <c r="H179" s="45">
        <f t="shared" si="11"/>
        <v>3.658392487952971E-4</v>
      </c>
      <c r="I179" s="48">
        <f t="shared" si="9"/>
        <v>0.3113546755071307</v>
      </c>
      <c r="J179" s="48">
        <f t="shared" si="10"/>
        <v>4.270275524709286E-3</v>
      </c>
    </row>
    <row r="180" spans="3:10" x14ac:dyDescent="0.35">
      <c r="C180" s="11">
        <v>80</v>
      </c>
      <c r="D180" s="12">
        <v>0.11613</v>
      </c>
      <c r="E180" s="27">
        <f t="shared" si="12"/>
        <v>0.27321332625301237</v>
      </c>
      <c r="F180" s="11">
        <v>63</v>
      </c>
      <c r="G180" s="42">
        <v>0.13668593428212397</v>
      </c>
      <c r="H180" s="45">
        <f t="shared" si="11"/>
        <v>3.1235566474672755E-4</v>
      </c>
      <c r="I180" s="48">
        <f t="shared" si="9"/>
        <v>0.15903482537795946</v>
      </c>
      <c r="J180" s="48">
        <f t="shared" si="10"/>
        <v>2.1451413380640613E-3</v>
      </c>
    </row>
    <row r="181" spans="3:10" x14ac:dyDescent="0.35">
      <c r="C181" s="11">
        <v>81</v>
      </c>
      <c r="D181" s="12">
        <v>0.12645000000000001</v>
      </c>
      <c r="E181" s="27">
        <f t="shared" si="12"/>
        <v>0.24148506267525005</v>
      </c>
      <c r="F181" s="11">
        <v>64</v>
      </c>
      <c r="G181" s="42">
        <v>0.1372275579034416</v>
      </c>
      <c r="H181" s="45">
        <f t="shared" si="11"/>
        <v>2.6654343308341283E-4</v>
      </c>
      <c r="I181" s="48">
        <f t="shared" si="9"/>
        <v>7.6682526453200089E-2</v>
      </c>
      <c r="J181" s="48">
        <f t="shared" si="10"/>
        <v>1.019337956336112E-3</v>
      </c>
    </row>
    <row r="182" spans="3:10" x14ac:dyDescent="0.35">
      <c r="C182" s="11">
        <v>82</v>
      </c>
      <c r="D182" s="12">
        <v>0.13764000000000001</v>
      </c>
      <c r="E182" s="27">
        <f t="shared" si="12"/>
        <v>0.2109492764999647</v>
      </c>
      <c r="F182" s="11">
        <v>65</v>
      </c>
      <c r="G182" s="42">
        <v>0.137762306696459</v>
      </c>
      <c r="H182" s="45">
        <f t="shared" si="11"/>
        <v>2.2732635268585347E-4</v>
      </c>
      <c r="I182" s="48">
        <f t="shared" ref="I182:I202" si="13">D200*1000000*H183*E200</f>
        <v>3.4716941963209014E-2</v>
      </c>
      <c r="J182" s="48">
        <f t="shared" ref="J182:J202" si="14">250 * H182*(1.05)^F182*E200</f>
        <v>4.5580276084343404E-4</v>
      </c>
    </row>
    <row r="183" spans="3:10" x14ac:dyDescent="0.35">
      <c r="C183" s="11">
        <v>83</v>
      </c>
      <c r="D183" s="12">
        <v>0.14976</v>
      </c>
      <c r="E183" s="27">
        <f t="shared" si="12"/>
        <v>0.18191421808250957</v>
      </c>
      <c r="F183" s="11">
        <v>66</v>
      </c>
      <c r="G183" s="42">
        <v>0.13829035300034292</v>
      </c>
      <c r="H183" s="45">
        <f t="shared" si="11"/>
        <v>1.9377527201136816E-4</v>
      </c>
      <c r="I183" s="48">
        <f t="shared" si="13"/>
        <v>1.4671800793113785E-2</v>
      </c>
      <c r="J183" s="48">
        <f t="shared" si="14"/>
        <v>1.9069968944931116E-4</v>
      </c>
    </row>
    <row r="184" spans="3:10" x14ac:dyDescent="0.35">
      <c r="C184" s="11">
        <v>84</v>
      </c>
      <c r="D184" s="12">
        <v>0.16286</v>
      </c>
      <c r="E184" s="27">
        <f t="shared" si="12"/>
        <v>0.15467074478247295</v>
      </c>
      <c r="F184" s="11">
        <v>67</v>
      </c>
      <c r="G184" s="42">
        <v>0.13881186275406404</v>
      </c>
      <c r="H184" s="45">
        <f t="shared" ref="H184:H202" si="15">1/(1+G184)^F184</f>
        <v>1.6508863470943594E-4</v>
      </c>
      <c r="I184" s="48">
        <f t="shared" si="13"/>
        <v>5.4530459824191756E-3</v>
      </c>
      <c r="J184" s="48">
        <f t="shared" si="14"/>
        <v>7.41852481918429E-5</v>
      </c>
    </row>
    <row r="185" spans="3:10" x14ac:dyDescent="0.35">
      <c r="C185" s="11">
        <v>85</v>
      </c>
      <c r="D185" s="12">
        <v>0.17699000000000001</v>
      </c>
      <c r="E185" s="27">
        <f t="shared" si="12"/>
        <v>0.12948106728719941</v>
      </c>
      <c r="F185" s="11">
        <v>68</v>
      </c>
      <c r="G185" s="42">
        <v>0.13932699580943961</v>
      </c>
      <c r="H185" s="45">
        <f t="shared" si="15"/>
        <v>1.4057549539526541E-4</v>
      </c>
      <c r="I185" s="48">
        <f t="shared" si="13"/>
        <v>2.0159175277976254E-3</v>
      </c>
      <c r="J185" s="48">
        <f t="shared" si="14"/>
        <v>2.8705532281218258E-5</v>
      </c>
    </row>
    <row r="186" spans="3:10" x14ac:dyDescent="0.35">
      <c r="C186" s="11">
        <v>86</v>
      </c>
      <c r="D186" s="12">
        <v>0.19220000000000001</v>
      </c>
      <c r="E186" s="27">
        <f t="shared" si="12"/>
        <v>0.10656421318803799</v>
      </c>
      <c r="F186" s="11">
        <v>69</v>
      </c>
      <c r="G186" s="42">
        <v>0.13983590622526795</v>
      </c>
      <c r="H186" s="45">
        <f t="shared" si="15"/>
        <v>1.1964070882993926E-4</v>
      </c>
      <c r="I186" s="48">
        <f t="shared" si="13"/>
        <v>7.412715331589141E-4</v>
      </c>
      <c r="J186" s="48">
        <f t="shared" si="14"/>
        <v>1.1048091990424906E-5</v>
      </c>
    </row>
    <row r="187" spans="3:10" x14ac:dyDescent="0.35">
      <c r="C187" s="11">
        <v>87</v>
      </c>
      <c r="D187" s="12">
        <v>0.20841999999999999</v>
      </c>
      <c r="E187" s="27">
        <f t="shared" si="12"/>
        <v>8.6082571413297088E-2</v>
      </c>
      <c r="F187" s="11">
        <v>70</v>
      </c>
      <c r="G187" s="42">
        <v>0.1403387425439088</v>
      </c>
      <c r="H187" s="45">
        <f t="shared" si="15"/>
        <v>1.0177202862338506E-4</v>
      </c>
      <c r="I187" s="48">
        <f t="shared" si="13"/>
        <v>2.7111013629184166E-4</v>
      </c>
      <c r="J187" s="48">
        <f t="shared" si="14"/>
        <v>4.2293686479059009E-6</v>
      </c>
    </row>
    <row r="188" spans="3:10" x14ac:dyDescent="0.35">
      <c r="C188" s="11">
        <v>88</v>
      </c>
      <c r="D188" s="12">
        <v>0.2258</v>
      </c>
      <c r="E188" s="27">
        <f t="shared" si="12"/>
        <v>6.8141241879337705E-2</v>
      </c>
      <c r="F188" s="11">
        <v>71</v>
      </c>
      <c r="G188" s="42">
        <v>0.14083564805155205</v>
      </c>
      <c r="H188" s="45">
        <f t="shared" si="15"/>
        <v>8.6528881273338344E-5</v>
      </c>
      <c r="I188" s="48">
        <f t="shared" si="13"/>
        <v>9.8621314499949605E-5</v>
      </c>
      <c r="J188" s="48">
        <f t="shared" si="14"/>
        <v>1.6103606591125076E-6</v>
      </c>
    </row>
    <row r="189" spans="3:10" x14ac:dyDescent="0.35">
      <c r="C189" s="11">
        <v>89</v>
      </c>
      <c r="D189" s="12">
        <v>0.24440000000000001</v>
      </c>
      <c r="E189" s="27">
        <f t="shared" si="12"/>
        <v>5.2754949462983251E-2</v>
      </c>
      <c r="F189" s="11">
        <v>72</v>
      </c>
      <c r="G189" s="42">
        <v>0.14132676102331548</v>
      </c>
      <c r="H189" s="45">
        <f t="shared" si="15"/>
        <v>7.3532608101849745E-5</v>
      </c>
      <c r="I189" s="48">
        <f t="shared" si="13"/>
        <v>3.5681652674370359E-5</v>
      </c>
      <c r="J189" s="48">
        <f t="shared" si="14"/>
        <v>6.0984953475958143E-7</v>
      </c>
    </row>
    <row r="190" spans="3:10" x14ac:dyDescent="0.35">
      <c r="C190" s="11">
        <v>90</v>
      </c>
      <c r="D190" s="12">
        <v>0.26424999999999998</v>
      </c>
      <c r="E190" s="27">
        <f t="shared" si="12"/>
        <v>3.9861639814230146E-2</v>
      </c>
      <c r="F190" s="11">
        <v>73</v>
      </c>
      <c r="G190" s="42">
        <v>0.14181221495422103</v>
      </c>
      <c r="H190" s="45">
        <f t="shared" si="15"/>
        <v>6.2457991674649843E-5</v>
      </c>
      <c r="I190" s="48">
        <f t="shared" si="13"/>
        <v>1.283987048397536E-5</v>
      </c>
      <c r="J190" s="48">
        <f t="shared" si="14"/>
        <v>2.2970295116443467E-7</v>
      </c>
    </row>
    <row r="191" spans="3:10" x14ac:dyDescent="0.35">
      <c r="C191" s="11">
        <v>91</v>
      </c>
      <c r="D191" s="12">
        <v>0.28538000000000002</v>
      </c>
      <c r="E191" s="27">
        <f t="shared" si="12"/>
        <v>2.9328201493319831E-2</v>
      </c>
      <c r="F191" s="11">
        <v>74</v>
      </c>
      <c r="G191" s="42">
        <v>0.14229213877701422</v>
      </c>
      <c r="H191" s="45">
        <f t="shared" si="15"/>
        <v>5.302590480750146E-5</v>
      </c>
      <c r="I191" s="48">
        <f t="shared" si="13"/>
        <v>4.5952592282583575E-6</v>
      </c>
      <c r="J191" s="48">
        <f t="shared" si="14"/>
        <v>8.6049233136723324E-8</v>
      </c>
    </row>
    <row r="192" spans="3:10" x14ac:dyDescent="0.35">
      <c r="C192" s="11">
        <v>92</v>
      </c>
      <c r="D192" s="12">
        <v>0.30784</v>
      </c>
      <c r="E192" s="27">
        <f t="shared" si="12"/>
        <v>2.0958519351156217E-2</v>
      </c>
      <c r="F192" s="11">
        <v>75</v>
      </c>
      <c r="G192" s="42">
        <v>0.1427666570677163</v>
      </c>
      <c r="H192" s="45">
        <f t="shared" si="15"/>
        <v>4.4996939490918601E-5</v>
      </c>
      <c r="I192" s="48">
        <f t="shared" si="13"/>
        <v>1.7027700653626254E-6</v>
      </c>
      <c r="J192" s="48">
        <f t="shared" si="14"/>
        <v>3.2059446653089983E-8</v>
      </c>
    </row>
    <row r="193" spans="3:10" x14ac:dyDescent="0.35">
      <c r="C193" s="11">
        <v>93</v>
      </c>
      <c r="D193" s="12">
        <v>0.33161000000000002</v>
      </c>
      <c r="E193" s="27">
        <f t="shared" si="12"/>
        <v>1.4506648754096288E-2</v>
      </c>
      <c r="F193" s="11">
        <v>76</v>
      </c>
      <c r="G193" s="42">
        <v>0.14323589023972882</v>
      </c>
      <c r="H193" s="45">
        <f t="shared" si="15"/>
        <v>3.8165890204141689E-5</v>
      </c>
      <c r="I193" s="48">
        <f t="shared" si="13"/>
        <v>5.9004544557859631E-7</v>
      </c>
      <c r="J193" s="48">
        <f t="shared" si="14"/>
        <v>1.119475637713469E-8</v>
      </c>
    </row>
    <row r="194" spans="3:10" x14ac:dyDescent="0.35">
      <c r="C194" s="11">
        <v>94</v>
      </c>
      <c r="D194" s="12">
        <v>0.35671000000000003</v>
      </c>
      <c r="E194" s="27">
        <f t="shared" si="12"/>
        <v>9.6960989607504187E-3</v>
      </c>
      <c r="F194" s="11">
        <v>77</v>
      </c>
      <c r="G194" s="42">
        <v>0.14369995472724725</v>
      </c>
      <c r="H194" s="45">
        <f t="shared" si="15"/>
        <v>3.2356981334337237E-5</v>
      </c>
      <c r="I194" s="48">
        <f t="shared" si="13"/>
        <v>1.9049085482754678E-7</v>
      </c>
      <c r="J194" s="48">
        <f t="shared" si="14"/>
        <v>3.6500323231801799E-9</v>
      </c>
    </row>
    <row r="195" spans="3:10" x14ac:dyDescent="0.35">
      <c r="C195" s="11">
        <v>95</v>
      </c>
      <c r="D195" s="12">
        <v>0.38311000000000001</v>
      </c>
      <c r="E195" s="27">
        <f t="shared" si="12"/>
        <v>6.2374035004611359E-3</v>
      </c>
      <c r="F195" s="11">
        <v>78</v>
      </c>
      <c r="G195" s="42">
        <v>0.14415896315868273</v>
      </c>
      <c r="H195" s="45">
        <f t="shared" si="15"/>
        <v>2.741974194891943E-5</v>
      </c>
      <c r="I195" s="48">
        <f t="shared" si="13"/>
        <v>5.7074445752700607E-8</v>
      </c>
      <c r="J195" s="48">
        <f t="shared" si="14"/>
        <v>1.1069242826488048E-9</v>
      </c>
    </row>
    <row r="196" spans="3:10" x14ac:dyDescent="0.35">
      <c r="C196" s="11">
        <v>96</v>
      </c>
      <c r="D196" s="12">
        <v>0.41077999999999998</v>
      </c>
      <c r="E196" s="27">
        <f t="shared" si="12"/>
        <v>3.8477918453994698E-3</v>
      </c>
      <c r="F196" s="11">
        <v>79</v>
      </c>
      <c r="G196" s="42">
        <v>0.14461302452073777</v>
      </c>
      <c r="H196" s="45">
        <f t="shared" si="15"/>
        <v>2.3225443156829899E-5</v>
      </c>
      <c r="I196" s="48">
        <f t="shared" si="13"/>
        <v>1.5807248746701524E-8</v>
      </c>
      <c r="J196" s="48">
        <f t="shared" si="14"/>
        <v>3.1098413822188075E-10</v>
      </c>
    </row>
    <row r="197" spans="3:10" x14ac:dyDescent="0.35">
      <c r="C197" s="11">
        <v>97</v>
      </c>
      <c r="D197" s="12">
        <v>0.43966</v>
      </c>
      <c r="E197" s="27">
        <f t="shared" si="12"/>
        <v>2.2671959111462757E-3</v>
      </c>
      <c r="F197" s="11">
        <v>80</v>
      </c>
      <c r="G197" s="42">
        <v>0.14506224431373416</v>
      </c>
      <c r="H197" s="45">
        <f t="shared" si="15"/>
        <v>1.9664023894999427E-5</v>
      </c>
      <c r="I197" s="48">
        <f t="shared" si="13"/>
        <v>4.0302451805059536E-9</v>
      </c>
      <c r="J197" s="48">
        <f t="shared" si="14"/>
        <v>8.0604796111412208E-11</v>
      </c>
    </row>
    <row r="198" spans="3:10" x14ac:dyDescent="0.35">
      <c r="C198" s="11">
        <v>98</v>
      </c>
      <c r="D198" s="12">
        <v>0.46966000000000002</v>
      </c>
      <c r="E198" s="27">
        <f t="shared" si="12"/>
        <v>1.2704005568517042E-3</v>
      </c>
      <c r="F198" s="11">
        <v>81</v>
      </c>
      <c r="G198" s="42">
        <v>0.14550672469874695</v>
      </c>
      <c r="H198" s="45">
        <f t="shared" si="15"/>
        <v>1.6641440333265576E-5</v>
      </c>
      <c r="I198" s="48">
        <f t="shared" si="13"/>
        <v>9.4195522558874585E-10</v>
      </c>
      <c r="J198" s="48">
        <f t="shared" si="14"/>
        <v>1.9192671471830259E-11</v>
      </c>
    </row>
    <row r="199" spans="3:10" x14ac:dyDescent="0.35">
      <c r="C199" s="11">
        <v>99</v>
      </c>
      <c r="D199" s="12">
        <v>0.50066999999999995</v>
      </c>
      <c r="E199" s="27">
        <f t="shared" si="12"/>
        <v>6.7374423132073285E-4</v>
      </c>
      <c r="F199" s="11">
        <v>82</v>
      </c>
      <c r="G199" s="42">
        <v>0.14594656463705721</v>
      </c>
      <c r="H199" s="45">
        <f t="shared" si="15"/>
        <v>1.4077382336699302E-5</v>
      </c>
      <c r="I199" s="48">
        <f t="shared" si="13"/>
        <v>2.0094060078778111E-10</v>
      </c>
      <c r="J199" s="48">
        <f t="shared" si="14"/>
        <v>4.1798456731743019E-12</v>
      </c>
    </row>
    <row r="200" spans="3:10" x14ac:dyDescent="0.35">
      <c r="C200" s="11">
        <v>100</v>
      </c>
      <c r="D200" s="12">
        <v>0.53254999999999997</v>
      </c>
      <c r="E200" s="27">
        <f t="shared" si="12"/>
        <v>3.3642070702538158E-4</v>
      </c>
      <c r="F200" s="11">
        <v>83</v>
      </c>
      <c r="G200" s="42">
        <v>0.14638186002240069</v>
      </c>
      <c r="H200" s="45">
        <f t="shared" si="15"/>
        <v>1.1903307679066564E-5</v>
      </c>
      <c r="I200" s="48">
        <f t="shared" si="13"/>
        <v>3.8950606511657737E-11</v>
      </c>
      <c r="J200" s="48">
        <f t="shared" si="14"/>
        <v>8.28867565203379E-13</v>
      </c>
    </row>
    <row r="201" spans="3:10" x14ac:dyDescent="0.35">
      <c r="C201" s="11">
        <v>101</v>
      </c>
      <c r="D201" s="12">
        <v>0.56513000000000002</v>
      </c>
      <c r="E201" s="27">
        <f t="shared" ref="E201:E220" si="16">E200*(1-D200)</f>
        <v>1.5725985949901464E-4</v>
      </c>
      <c r="F201" s="11">
        <v>84</v>
      </c>
      <c r="G201" s="42">
        <v>0.14681270380645348</v>
      </c>
      <c r="H201" s="45">
        <f t="shared" si="15"/>
        <v>1.0060751074336997E-5</v>
      </c>
      <c r="I201" s="48">
        <f t="shared" si="13"/>
        <v>6.8295795614610448E-12</v>
      </c>
      <c r="J201" s="48">
        <f t="shared" si="14"/>
        <v>1.4897436424241013E-13</v>
      </c>
    </row>
    <row r="202" spans="3:10" x14ac:dyDescent="0.35">
      <c r="C202" s="11">
        <v>102</v>
      </c>
      <c r="D202" s="12">
        <v>0.56722087500000007</v>
      </c>
      <c r="E202" s="27">
        <f t="shared" si="16"/>
        <v>6.8387595100336489E-5</v>
      </c>
      <c r="F202" s="14">
        <v>85</v>
      </c>
      <c r="G202" s="43">
        <v>0.14723918611796641</v>
      </c>
      <c r="H202" s="46">
        <f t="shared" si="15"/>
        <v>8.4998706837546083E-6</v>
      </c>
      <c r="I202" s="48">
        <f t="shared" si="13"/>
        <v>0</v>
      </c>
      <c r="J202" s="48">
        <f t="shared" si="14"/>
        <v>2.4154583155491403E-14</v>
      </c>
    </row>
    <row r="203" spans="3:10" x14ac:dyDescent="0.35">
      <c r="C203" s="11">
        <v>103</v>
      </c>
      <c r="D203" s="12">
        <v>0.56931175000000001</v>
      </c>
      <c r="E203" s="27">
        <f t="shared" si="16"/>
        <v>2.9596723568377909E-5</v>
      </c>
      <c r="F203" s="16"/>
      <c r="G203" s="17"/>
    </row>
    <row r="204" spans="3:10" ht="15" thickBot="1" x14ac:dyDescent="0.4">
      <c r="C204" s="11">
        <v>104</v>
      </c>
      <c r="D204" s="12">
        <v>0.57140262499999994</v>
      </c>
      <c r="E204" s="27">
        <f t="shared" si="16"/>
        <v>1.2746961079398436E-5</v>
      </c>
      <c r="F204" s="16"/>
      <c r="G204" s="17"/>
      <c r="H204">
        <f>SUMPRODUCT(H117:H202,E135:E220)</f>
        <v>10.698395218952324</v>
      </c>
      <c r="I204" s="64">
        <f>SUM(I117:I202)</f>
        <v>58444.77840794684</v>
      </c>
      <c r="J204" s="27">
        <f>SUM(J117:J202)</f>
        <v>4270.0633888914781</v>
      </c>
    </row>
    <row r="205" spans="3:10" ht="15" thickTop="1" x14ac:dyDescent="0.35">
      <c r="C205" s="11">
        <v>105</v>
      </c>
      <c r="D205" s="12">
        <v>0.57349349999999988</v>
      </c>
      <c r="E205" s="27">
        <f t="shared" si="16"/>
        <v>5.4633140578573366E-6</v>
      </c>
      <c r="F205" s="16"/>
      <c r="G205" s="17"/>
      <c r="J205">
        <v>250</v>
      </c>
    </row>
    <row r="206" spans="3:10" ht="15" thickBot="1" x14ac:dyDescent="0.4">
      <c r="C206" s="11">
        <v>106</v>
      </c>
      <c r="D206" s="12">
        <v>0.57558437499999981</v>
      </c>
      <c r="E206" s="27">
        <f t="shared" si="16"/>
        <v>2.3301389572175309E-6</v>
      </c>
      <c r="F206" s="16"/>
      <c r="G206" s="17"/>
      <c r="J206" s="65">
        <f>SUM(J204:J205)</f>
        <v>4520.0633888914781</v>
      </c>
    </row>
    <row r="207" spans="3:10" ht="15" thickTop="1" x14ac:dyDescent="0.35">
      <c r="C207" s="11">
        <v>107</v>
      </c>
      <c r="D207" s="12">
        <v>0.57767524999999975</v>
      </c>
      <c r="E207" s="27">
        <f t="shared" si="16"/>
        <v>9.8894738186432703E-7</v>
      </c>
      <c r="F207" s="16"/>
      <c r="G207" s="17"/>
    </row>
    <row r="208" spans="3:10" ht="15" thickBot="1" x14ac:dyDescent="0.4">
      <c r="C208" s="11">
        <v>108</v>
      </c>
      <c r="D208" s="12">
        <v>0.57976612499999969</v>
      </c>
      <c r="E208" s="27">
        <f t="shared" si="16"/>
        <v>4.1765695580900669E-7</v>
      </c>
      <c r="G208" s="7"/>
      <c r="I208" t="s">
        <v>28</v>
      </c>
      <c r="J208" s="64">
        <f>(I204+J206)/SUMPRODUCT(H117:H202,E135:E220)</f>
        <v>5885.4473505797778</v>
      </c>
    </row>
    <row r="209" spans="3:7" ht="15" thickTop="1" x14ac:dyDescent="0.35">
      <c r="C209" s="11">
        <v>109</v>
      </c>
      <c r="D209" s="18">
        <v>0.58185699999999996</v>
      </c>
      <c r="E209" s="27">
        <f t="shared" si="16"/>
        <v>1.7551360096032278E-7</v>
      </c>
      <c r="G209" s="7"/>
    </row>
    <row r="210" spans="3:7" x14ac:dyDescent="0.35">
      <c r="C210" s="11">
        <v>110</v>
      </c>
      <c r="D210" s="18">
        <v>0.60791799999999996</v>
      </c>
      <c r="E210" s="27">
        <f t="shared" si="16"/>
        <v>7.3389783646352251E-8</v>
      </c>
      <c r="G210" s="7"/>
    </row>
    <row r="211" spans="3:7" x14ac:dyDescent="0.35">
      <c r="C211" s="11">
        <v>111</v>
      </c>
      <c r="D211" s="18">
        <v>0.63373100000000004</v>
      </c>
      <c r="E211" s="27">
        <f t="shared" si="16"/>
        <v>2.8774813151629086E-8</v>
      </c>
      <c r="G211" s="7"/>
    </row>
    <row r="212" spans="3:7" x14ac:dyDescent="0.35">
      <c r="C212" s="11">
        <v>112</v>
      </c>
      <c r="D212" s="18">
        <v>0.65917099999999995</v>
      </c>
      <c r="E212" s="27">
        <f t="shared" si="16"/>
        <v>1.0539322038234033E-8</v>
      </c>
      <c r="G212" s="7"/>
    </row>
    <row r="213" spans="3:7" x14ac:dyDescent="0.35">
      <c r="C213" s="11">
        <v>113</v>
      </c>
      <c r="D213" s="18">
        <v>0.684114</v>
      </c>
      <c r="E213" s="27">
        <f t="shared" si="16"/>
        <v>3.5921065909692677E-9</v>
      </c>
      <c r="G213" s="7"/>
    </row>
    <row r="214" spans="3:7" x14ac:dyDescent="0.35">
      <c r="C214" s="11">
        <v>114</v>
      </c>
      <c r="D214" s="18">
        <v>0.70844200000000002</v>
      </c>
      <c r="E214" s="27">
        <f t="shared" si="16"/>
        <v>1.1346961825949181E-9</v>
      </c>
      <c r="G214" s="7"/>
    </row>
    <row r="215" spans="3:7" x14ac:dyDescent="0.35">
      <c r="C215" s="11">
        <v>115</v>
      </c>
      <c r="D215" s="18">
        <v>0.73204199999999997</v>
      </c>
      <c r="E215" s="27">
        <f t="shared" si="16"/>
        <v>3.3082974960500912E-10</v>
      </c>
      <c r="G215" s="7"/>
    </row>
    <row r="216" spans="3:7" x14ac:dyDescent="0.35">
      <c r="C216" s="11">
        <v>116</v>
      </c>
      <c r="D216" s="18">
        <v>0.75480899999999995</v>
      </c>
      <c r="E216" s="27">
        <f t="shared" si="16"/>
        <v>8.8648478044659041E-11</v>
      </c>
      <c r="G216" s="7"/>
    </row>
    <row r="217" spans="3:7" x14ac:dyDescent="0.35">
      <c r="C217" s="11">
        <v>117</v>
      </c>
      <c r="D217" s="18">
        <v>0.77664800000000001</v>
      </c>
      <c r="E217" s="27">
        <f t="shared" si="16"/>
        <v>2.1735808980247998E-11</v>
      </c>
      <c r="G217" s="7"/>
    </row>
    <row r="218" spans="3:7" x14ac:dyDescent="0.35">
      <c r="C218" s="11">
        <v>118</v>
      </c>
      <c r="D218" s="18">
        <v>0.79747699999999999</v>
      </c>
      <c r="E218" s="27">
        <f t="shared" si="16"/>
        <v>4.854736407356351E-12</v>
      </c>
      <c r="G218" s="7"/>
    </row>
    <row r="219" spans="3:7" x14ac:dyDescent="0.35">
      <c r="C219" s="11">
        <v>119</v>
      </c>
      <c r="D219" s="18">
        <v>0.81722499999999998</v>
      </c>
      <c r="E219" s="27">
        <f t="shared" si="16"/>
        <v>9.8319578142703026E-13</v>
      </c>
      <c r="G219" s="7"/>
    </row>
    <row r="220" spans="3:7" x14ac:dyDescent="0.35">
      <c r="C220" s="14">
        <v>120</v>
      </c>
      <c r="D220" s="19">
        <v>1</v>
      </c>
      <c r="E220" s="27">
        <f t="shared" si="16"/>
        <v>1.7970360895032547E-13</v>
      </c>
      <c r="G220" s="7"/>
    </row>
    <row r="221" spans="3:7" x14ac:dyDescent="0.35">
      <c r="D221" s="8"/>
      <c r="G221" s="7"/>
    </row>
    <row r="222" spans="3:7" x14ac:dyDescent="0.35">
      <c r="D222" s="8"/>
      <c r="G222" s="7"/>
    </row>
    <row r="223" spans="3:7" x14ac:dyDescent="0.35">
      <c r="D223" s="8"/>
      <c r="G223" s="7"/>
    </row>
    <row r="224" spans="3:7" x14ac:dyDescent="0.35">
      <c r="D224" s="8"/>
      <c r="G224" s="7"/>
    </row>
    <row r="225" spans="1:26" x14ac:dyDescent="0.35">
      <c r="D225" s="8"/>
      <c r="G225" s="7"/>
      <c r="J225" t="s">
        <v>27</v>
      </c>
    </row>
    <row r="226" spans="1:26" x14ac:dyDescent="0.35">
      <c r="E226" s="8"/>
    </row>
    <row r="227" spans="1:26" ht="62" x14ac:dyDescent="0.35">
      <c r="A227" t="s">
        <v>30</v>
      </c>
      <c r="D227" s="49" t="s">
        <v>2</v>
      </c>
      <c r="E227" s="50" t="s">
        <v>3</v>
      </c>
      <c r="F227" s="39" t="s">
        <v>18</v>
      </c>
      <c r="G227" s="39" t="s">
        <v>19</v>
      </c>
      <c r="H227" s="51" t="s">
        <v>4</v>
      </c>
      <c r="I227" s="47" t="s">
        <v>1</v>
      </c>
      <c r="J227" s="39" t="s">
        <v>24</v>
      </c>
      <c r="K227" s="40" t="s">
        <v>32</v>
      </c>
      <c r="L227" s="39" t="s">
        <v>33</v>
      </c>
      <c r="M227" s="39" t="s">
        <v>34</v>
      </c>
      <c r="N227" s="29" t="s">
        <v>35</v>
      </c>
    </row>
    <row r="228" spans="1:26" x14ac:dyDescent="0.35">
      <c r="D228" s="11">
        <v>17</v>
      </c>
      <c r="E228" s="55">
        <v>3.0200000000000001E-3</v>
      </c>
      <c r="F228" s="55">
        <v>3.0200000000000001E-3</v>
      </c>
      <c r="G228" s="55">
        <v>3.0200000000000001E-3</v>
      </c>
      <c r="H228" s="52">
        <v>0</v>
      </c>
      <c r="I228" s="13"/>
      <c r="J228" s="48">
        <f>1/(1+I228)</f>
        <v>1</v>
      </c>
      <c r="K228" s="44">
        <f>F246*1000000*J228</f>
        <v>2485.4368932038838</v>
      </c>
      <c r="L228" s="48">
        <f>250*J228*(1.05)^H228</f>
        <v>250</v>
      </c>
      <c r="M228" s="44">
        <f>G246*1000000*J228</f>
        <v>2553.3452427184466</v>
      </c>
      <c r="N228" s="27"/>
      <c r="V228" s="41" t="s">
        <v>10</v>
      </c>
      <c r="W228" s="41" t="s">
        <v>11</v>
      </c>
      <c r="Z228">
        <v>8.9249999999999996E-2</v>
      </c>
    </row>
    <row r="229" spans="1:26" x14ac:dyDescent="0.35">
      <c r="D229" s="11">
        <v>18</v>
      </c>
      <c r="E229" s="56">
        <v>2.8300000000000001E-3</v>
      </c>
      <c r="F229" s="56">
        <v>2.8300000000000001E-3</v>
      </c>
      <c r="G229" s="56">
        <v>2.8300000000000001E-3</v>
      </c>
      <c r="H229" s="53">
        <v>1</v>
      </c>
      <c r="I229" s="13">
        <v>6.841045886020182E-2</v>
      </c>
      <c r="J229" s="45">
        <f>1/(1+I229)^H229</f>
        <v>0.93596987160423029</v>
      </c>
      <c r="K229" s="45">
        <f t="shared" ref="K229:K292" si="17">F247*1000000*J229</f>
        <v>2471.6874279257345</v>
      </c>
      <c r="L229" s="34">
        <f t="shared" ref="L229:L292" si="18">250*J229*(1.05)^H229</f>
        <v>245.69209129611048</v>
      </c>
      <c r="M229" s="45">
        <f t="shared" ref="M229:M292" si="19">G247*1000000*J229</f>
        <v>2539.2201076752353</v>
      </c>
      <c r="V229" s="41" t="s">
        <v>12</v>
      </c>
      <c r="W229" s="41">
        <f>3%</f>
        <v>0.03</v>
      </c>
      <c r="Z229">
        <v>0.91074999999999995</v>
      </c>
    </row>
    <row r="230" spans="1:26" x14ac:dyDescent="0.35">
      <c r="D230" s="11">
        <v>19</v>
      </c>
      <c r="E230" s="56">
        <v>2.66E-3</v>
      </c>
      <c r="F230" s="56">
        <v>2.66E-3</v>
      </c>
      <c r="G230" s="56">
        <v>2.66E-3</v>
      </c>
      <c r="H230" s="53">
        <v>2</v>
      </c>
      <c r="I230" s="13">
        <v>7.1080220695181801E-2</v>
      </c>
      <c r="J230" s="45">
        <f t="shared" ref="J230:J293" si="20">1/(1+I230)^H230</f>
        <v>0.87167783157686751</v>
      </c>
      <c r="K230" s="45">
        <f t="shared" si="17"/>
        <v>2420.3869886503312</v>
      </c>
      <c r="L230" s="34">
        <f t="shared" si="18"/>
        <v>240.25620232837412</v>
      </c>
      <c r="M230" s="45">
        <f t="shared" si="19"/>
        <v>2486.5180121477301</v>
      </c>
      <c r="V230" s="41" t="s">
        <v>13</v>
      </c>
      <c r="W230" s="41">
        <f>5%</f>
        <v>0.05</v>
      </c>
    </row>
    <row r="231" spans="1:26" x14ac:dyDescent="0.35">
      <c r="D231" s="11">
        <v>20</v>
      </c>
      <c r="E231" s="56">
        <v>2.5100000000000001E-3</v>
      </c>
      <c r="F231" s="56">
        <v>2.5100000000000001E-3</v>
      </c>
      <c r="G231" s="56">
        <v>2.5100000000000001E-3</v>
      </c>
      <c r="H231" s="53">
        <v>3</v>
      </c>
      <c r="I231" s="13">
        <v>7.3590835750312417E-2</v>
      </c>
      <c r="J231" s="45">
        <f t="shared" si="20"/>
        <v>0.80813443560921638</v>
      </c>
      <c r="K231" s="45">
        <f t="shared" si="17"/>
        <v>2385.173479856328</v>
      </c>
      <c r="L231" s="34">
        <f t="shared" si="18"/>
        <v>233.87915650552981</v>
      </c>
      <c r="M231" s="45">
        <f t="shared" si="19"/>
        <v>2450.3423822597024</v>
      </c>
      <c r="V231" s="41" t="s">
        <v>14</v>
      </c>
      <c r="W231" s="41">
        <f>10%</f>
        <v>0.1</v>
      </c>
    </row>
    <row r="232" spans="1:26" x14ac:dyDescent="0.35">
      <c r="D232" s="11">
        <v>21</v>
      </c>
      <c r="E232" s="56">
        <v>2.3900000000000002E-3</v>
      </c>
      <c r="F232" s="56">
        <v>2.3900000000000002E-3</v>
      </c>
      <c r="G232" s="56">
        <v>2.3900000000000002E-3</v>
      </c>
      <c r="H232" s="53">
        <v>4</v>
      </c>
      <c r="I232" s="13">
        <v>7.5960215083255178E-2</v>
      </c>
      <c r="J232" s="45">
        <f t="shared" si="20"/>
        <v>0.74613110898914259</v>
      </c>
      <c r="K232" s="45">
        <f t="shared" si="17"/>
        <v>2354.2971885579741</v>
      </c>
      <c r="L232" s="34">
        <f t="shared" si="18"/>
        <v>226.7317565739335</v>
      </c>
      <c r="M232" s="45">
        <f t="shared" si="19"/>
        <v>2418.6224734923494</v>
      </c>
      <c r="V232" s="41" t="s">
        <v>15</v>
      </c>
      <c r="W232" s="41">
        <f>15%</f>
        <v>0.15</v>
      </c>
    </row>
    <row r="233" spans="1:26" x14ac:dyDescent="0.35">
      <c r="D233" s="11">
        <v>22</v>
      </c>
      <c r="E233" s="56">
        <v>2.2799999999999999E-3</v>
      </c>
      <c r="F233" s="56">
        <v>2.2799999999999999E-3</v>
      </c>
      <c r="G233" s="56">
        <v>2.2799999999999999E-3</v>
      </c>
      <c r="H233" s="53">
        <v>5</v>
      </c>
      <c r="I233" s="13">
        <v>7.8203406479932749E-2</v>
      </c>
      <c r="J233" s="45">
        <f t="shared" si="20"/>
        <v>0.68627235079720261</v>
      </c>
      <c r="K233" s="45">
        <f t="shared" si="17"/>
        <v>2287.5745026573418</v>
      </c>
      <c r="L233" s="34">
        <f t="shared" si="18"/>
        <v>218.96918704400051</v>
      </c>
      <c r="M233" s="45">
        <f t="shared" si="19"/>
        <v>2391.7449265721007</v>
      </c>
      <c r="V233" s="41" t="s">
        <v>16</v>
      </c>
      <c r="W233" s="41">
        <f>20%</f>
        <v>0.2</v>
      </c>
    </row>
    <row r="234" spans="1:26" x14ac:dyDescent="0.35">
      <c r="D234" s="11">
        <v>23</v>
      </c>
      <c r="E234" s="56">
        <v>2.2000000000000001E-3</v>
      </c>
      <c r="F234" s="56">
        <v>2.2000000000000001E-3</v>
      </c>
      <c r="G234" s="56">
        <v>2.2000000000000001E-3</v>
      </c>
      <c r="H234" s="53">
        <v>6</v>
      </c>
      <c r="I234" s="13">
        <v>8.0333174001062824E-2</v>
      </c>
      <c r="J234" s="45">
        <f t="shared" si="20"/>
        <v>0.62900446229286311</v>
      </c>
      <c r="K234" s="45">
        <f t="shared" si="17"/>
        <v>2258.4255455658035</v>
      </c>
      <c r="L234" s="34">
        <f t="shared" si="18"/>
        <v>210.7315344630845</v>
      </c>
      <c r="M234" s="45">
        <f t="shared" si="19"/>
        <v>2361.2685988470062</v>
      </c>
      <c r="V234" s="41" t="s">
        <v>17</v>
      </c>
      <c r="W234" s="41">
        <f>30%</f>
        <v>0.3</v>
      </c>
    </row>
    <row r="235" spans="1:26" x14ac:dyDescent="0.35">
      <c r="D235" s="11">
        <v>24</v>
      </c>
      <c r="E235" s="56">
        <v>2.1299999999999999E-3</v>
      </c>
      <c r="F235" s="56">
        <v>2.1299999999999999E-3</v>
      </c>
      <c r="G235" s="56">
        <v>2.1299999999999999E-3</v>
      </c>
      <c r="H235" s="53">
        <v>7</v>
      </c>
      <c r="I235" s="13">
        <v>8.2360437933803918E-2</v>
      </c>
      <c r="J235" s="45">
        <f t="shared" si="20"/>
        <v>0.57464103033575631</v>
      </c>
      <c r="K235" s="45">
        <f t="shared" si="17"/>
        <v>2232.8908607332246</v>
      </c>
      <c r="L235" s="34">
        <f t="shared" si="18"/>
        <v>202.14440916526647</v>
      </c>
      <c r="M235" s="45">
        <f t="shared" si="19"/>
        <v>2334.5711283038636</v>
      </c>
    </row>
    <row r="236" spans="1:26" x14ac:dyDescent="0.35">
      <c r="D236" s="11">
        <v>25</v>
      </c>
      <c r="E236" s="56">
        <v>2.0799999999999998E-3</v>
      </c>
      <c r="F236" s="56">
        <v>2.0799999999999998E-3</v>
      </c>
      <c r="G236" s="56">
        <v>2.0799999999999998E-3</v>
      </c>
      <c r="H236" s="53">
        <v>8</v>
      </c>
      <c r="I236" s="13">
        <v>8.4294613649744721E-2</v>
      </c>
      <c r="J236" s="45">
        <f t="shared" si="20"/>
        <v>0.52338539194282485</v>
      </c>
      <c r="K236" s="45">
        <f t="shared" si="17"/>
        <v>2208.1878917206795</v>
      </c>
      <c r="L236" s="34">
        <f t="shared" si="18"/>
        <v>193.3196491313997</v>
      </c>
      <c r="M236" s="45">
        <f t="shared" si="19"/>
        <v>2308.7432478399105</v>
      </c>
    </row>
    <row r="237" spans="1:26" x14ac:dyDescent="0.35">
      <c r="D237" s="11">
        <v>26</v>
      </c>
      <c r="E237" s="56">
        <v>2.0500000000000002E-3</v>
      </c>
      <c r="F237" s="56">
        <v>2.0500000000000002E-3</v>
      </c>
      <c r="G237" s="56">
        <v>2.0500000000000002E-3</v>
      </c>
      <c r="H237" s="53">
        <v>9</v>
      </c>
      <c r="I237" s="13">
        <v>8.6143876024310617E-2</v>
      </c>
      <c r="J237" s="45">
        <f t="shared" si="20"/>
        <v>0.47535030745829165</v>
      </c>
      <c r="K237" s="45">
        <f t="shared" si="17"/>
        <v>2182.0842685228245</v>
      </c>
      <c r="L237" s="34">
        <f t="shared" si="18"/>
        <v>184.35608610852762</v>
      </c>
      <c r="M237" s="45">
        <f t="shared" si="19"/>
        <v>2281.4509309006826</v>
      </c>
    </row>
    <row r="238" spans="1:26" x14ac:dyDescent="0.35">
      <c r="D238" s="11">
        <v>27</v>
      </c>
      <c r="E238" s="56">
        <v>2.0400000000000001E-3</v>
      </c>
      <c r="F238" s="56">
        <v>2.0400000000000001E-3</v>
      </c>
      <c r="G238" s="56">
        <v>2.0400000000000001E-3</v>
      </c>
      <c r="H238" s="53">
        <v>10</v>
      </c>
      <c r="I238" s="13">
        <v>8.7915368217249254E-2</v>
      </c>
      <c r="J238" s="45">
        <f t="shared" si="20"/>
        <v>0.43057507140157669</v>
      </c>
      <c r="K238" s="45">
        <f t="shared" si="17"/>
        <v>2156.9760719736128</v>
      </c>
      <c r="L238" s="34">
        <f t="shared" si="18"/>
        <v>175.34035505758538</v>
      </c>
      <c r="M238" s="45">
        <f t="shared" si="19"/>
        <v>2255.199369851111</v>
      </c>
    </row>
    <row r="239" spans="1:26" x14ac:dyDescent="0.35">
      <c r="D239" s="11">
        <v>28</v>
      </c>
      <c r="E239" s="56">
        <v>2.0500000000000002E-3</v>
      </c>
      <c r="F239" s="56">
        <v>2.0500000000000002E-3</v>
      </c>
      <c r="G239" s="56">
        <v>2.0500000000000002E-3</v>
      </c>
      <c r="H239" s="53">
        <v>11</v>
      </c>
      <c r="I239" s="13">
        <v>8.9615368297657122E-2</v>
      </c>
      <c r="J239" s="45">
        <f t="shared" si="20"/>
        <v>0.389040289285846</v>
      </c>
      <c r="K239" s="45">
        <f t="shared" si="17"/>
        <v>2126.7535814292914</v>
      </c>
      <c r="L239" s="34">
        <f t="shared" si="18"/>
        <v>166.3477296646347</v>
      </c>
      <c r="M239" s="45">
        <f t="shared" si="19"/>
        <v>2223.600622643628</v>
      </c>
    </row>
    <row r="240" spans="1:26" x14ac:dyDescent="0.35">
      <c r="D240" s="11">
        <v>29</v>
      </c>
      <c r="E240" s="56">
        <v>2.0799999999999998E-3</v>
      </c>
      <c r="F240" s="56">
        <v>2.0799999999999998E-3</v>
      </c>
      <c r="G240" s="56">
        <v>2.0799999999999998E-3</v>
      </c>
      <c r="H240" s="53">
        <v>12</v>
      </c>
      <c r="I240" s="13">
        <v>9.1249423532388269E-2</v>
      </c>
      <c r="J240" s="45">
        <f t="shared" si="20"/>
        <v>0.35068054473483612</v>
      </c>
      <c r="K240" s="45">
        <f t="shared" si="17"/>
        <v>2097.4036389854959</v>
      </c>
      <c r="L240" s="34">
        <f t="shared" si="18"/>
        <v>157.44296866873543</v>
      </c>
      <c r="M240" s="45">
        <f t="shared" si="19"/>
        <v>2192.914157195798</v>
      </c>
    </row>
    <row r="241" spans="4:13" x14ac:dyDescent="0.35">
      <c r="D241" s="11">
        <v>30</v>
      </c>
      <c r="E241" s="56">
        <v>2.1199999999999999E-3</v>
      </c>
      <c r="F241" s="56">
        <v>2.1199999999999999E-3</v>
      </c>
      <c r="G241" s="56">
        <v>2.1199999999999999E-3</v>
      </c>
      <c r="H241" s="53">
        <v>13</v>
      </c>
      <c r="I241" s="13">
        <v>9.2822459587926218E-2</v>
      </c>
      <c r="J241" s="45">
        <f t="shared" si="20"/>
        <v>0.31539517411459389</v>
      </c>
      <c r="K241" s="45">
        <f t="shared" si="17"/>
        <v>2060.5818042153464</v>
      </c>
      <c r="L241" s="34">
        <f t="shared" si="18"/>
        <v>148.6811598905179</v>
      </c>
      <c r="M241" s="45">
        <f t="shared" si="19"/>
        <v>2154.4155481248031</v>
      </c>
    </row>
    <row r="242" spans="4:13" x14ac:dyDescent="0.35">
      <c r="D242" s="11">
        <v>31</v>
      </c>
      <c r="E242" s="56">
        <v>2.1700000000000001E-3</v>
      </c>
      <c r="F242" s="56">
        <v>2.1700000000000001E-3</v>
      </c>
      <c r="G242" s="56">
        <v>2.1700000000000001E-3</v>
      </c>
      <c r="H242" s="53">
        <v>14</v>
      </c>
      <c r="I242" s="13">
        <v>9.4338870067482483E-2</v>
      </c>
      <c r="J242" s="45">
        <f t="shared" si="20"/>
        <v>0.28305735609522065</v>
      </c>
      <c r="K242" s="45">
        <f t="shared" si="17"/>
        <v>2021.8382578230044</v>
      </c>
      <c r="L242" s="34">
        <f t="shared" si="18"/>
        <v>140.10855094667431</v>
      </c>
      <c r="M242" s="45">
        <f t="shared" si="19"/>
        <v>2113.9077174886193</v>
      </c>
    </row>
    <row r="243" spans="4:13" x14ac:dyDescent="0.35">
      <c r="D243" s="11">
        <v>32</v>
      </c>
      <c r="E243" s="56">
        <v>2.2499999999999998E-3</v>
      </c>
      <c r="F243" s="56">
        <v>2.2499999999999998E-3</v>
      </c>
      <c r="G243" s="56">
        <v>2.2499999999999998E-3</v>
      </c>
      <c r="H243" s="53">
        <v>15</v>
      </c>
      <c r="I243" s="13">
        <v>9.5802590485422848E-2</v>
      </c>
      <c r="J243" s="45">
        <f t="shared" si="20"/>
        <v>0.25352171167496446</v>
      </c>
      <c r="K243" s="45">
        <f t="shared" si="17"/>
        <v>1889.8891233951895</v>
      </c>
      <c r="L243" s="34">
        <f t="shared" si="18"/>
        <v>131.76335762342188</v>
      </c>
      <c r="M243" s="45">
        <f t="shared" si="19"/>
        <v>2062.0107753084062</v>
      </c>
    </row>
    <row r="244" spans="4:13" x14ac:dyDescent="0.35">
      <c r="D244" s="11">
        <v>33</v>
      </c>
      <c r="E244" s="56">
        <v>2.33E-3</v>
      </c>
      <c r="F244" s="56">
        <v>2.33E-3</v>
      </c>
      <c r="G244" s="56">
        <v>2.33E-3</v>
      </c>
      <c r="H244" s="53">
        <v>16</v>
      </c>
      <c r="I244" s="13">
        <v>9.7217159816253604E-2</v>
      </c>
      <c r="J244" s="45">
        <f t="shared" si="20"/>
        <v>0.22663059686256412</v>
      </c>
      <c r="K244" s="45">
        <f t="shared" si="17"/>
        <v>1846.0092253532493</v>
      </c>
      <c r="L244" s="34">
        <f t="shared" si="18"/>
        <v>123.67654271028053</v>
      </c>
      <c r="M244" s="45">
        <f t="shared" si="19"/>
        <v>2014.1345155522961</v>
      </c>
    </row>
    <row r="245" spans="4:13" x14ac:dyDescent="0.35">
      <c r="D245" s="11">
        <v>34</v>
      </c>
      <c r="E245" s="56">
        <v>2.4399999999999999E-3</v>
      </c>
      <c r="F245" s="56">
        <v>2.4399999999999999E-3</v>
      </c>
      <c r="G245" s="56">
        <v>2.4399999999999999E-3</v>
      </c>
      <c r="H245" s="53">
        <v>17</v>
      </c>
      <c r="I245" s="13">
        <v>9.8585772041490896E-2</v>
      </c>
      <c r="J245" s="45">
        <f t="shared" si="20"/>
        <v>0.20221925600161864</v>
      </c>
      <c r="K245" s="45">
        <f t="shared" si="17"/>
        <v>1799.751378414406</v>
      </c>
      <c r="L245" s="34">
        <f t="shared" si="18"/>
        <v>115.8725597419516</v>
      </c>
      <c r="M245" s="45">
        <f t="shared" si="19"/>
        <v>1963.6637352034977</v>
      </c>
    </row>
    <row r="246" spans="4:13" x14ac:dyDescent="0.35">
      <c r="D246" s="11">
        <v>35</v>
      </c>
      <c r="E246" s="56">
        <v>2.5600000000000002E-3</v>
      </c>
      <c r="F246" s="34">
        <f>E246/ (1 + $J$4)</f>
        <v>2.4854368932038838E-3</v>
      </c>
      <c r="G246" s="34">
        <f t="shared" ref="G246:G277" si="21">F246 *$Z$228 + E246 *$Z$229</f>
        <v>2.5533452427184467E-3</v>
      </c>
      <c r="H246" s="53">
        <v>18</v>
      </c>
      <c r="I246" s="13">
        <v>9.9911319583663116E-2</v>
      </c>
      <c r="J246" s="45">
        <f t="shared" si="20"/>
        <v>0.18011998913043301</v>
      </c>
      <c r="K246" s="45">
        <f t="shared" si="17"/>
        <v>1752.0762579051209</v>
      </c>
      <c r="L246" s="34">
        <f t="shared" si="18"/>
        <v>108.3700575533823</v>
      </c>
      <c r="M246" s="45">
        <f t="shared" si="19"/>
        <v>1911.6466030938298</v>
      </c>
    </row>
    <row r="247" spans="4:13" x14ac:dyDescent="0.35">
      <c r="D247" s="11">
        <v>36</v>
      </c>
      <c r="E247" s="56">
        <v>2.7200000000000002E-3</v>
      </c>
      <c r="F247" s="34">
        <f>E247/ (1 + $J$4)</f>
        <v>2.6407766990291263E-3</v>
      </c>
      <c r="G247" s="34">
        <f t="shared" si="21"/>
        <v>2.7129293203883493E-3</v>
      </c>
      <c r="H247" s="53">
        <v>19</v>
      </c>
      <c r="I247" s="13">
        <v>0.10119643011304469</v>
      </c>
      <c r="J247" s="45">
        <f t="shared" si="20"/>
        <v>0.16016547221051144</v>
      </c>
      <c r="K247" s="45">
        <f t="shared" si="17"/>
        <v>1703.5782044208945</v>
      </c>
      <c r="L247" s="34">
        <f t="shared" si="18"/>
        <v>101.18254282369584</v>
      </c>
      <c r="M247" s="45">
        <f t="shared" si="19"/>
        <v>1858.7315893885273</v>
      </c>
    </row>
    <row r="248" spans="4:13" x14ac:dyDescent="0.35">
      <c r="D248" s="11">
        <v>37</v>
      </c>
      <c r="E248" s="56">
        <v>2.8600000000000001E-3</v>
      </c>
      <c r="F248" s="34">
        <f>E248/ (1 + $J$4)</f>
        <v>2.7766990291262137E-3</v>
      </c>
      <c r="G248" s="34">
        <f t="shared" si="21"/>
        <v>2.8525653883495145E-3</v>
      </c>
      <c r="H248" s="53">
        <v>20</v>
      </c>
      <c r="I248" s="13">
        <v>0.10244349790471981</v>
      </c>
      <c r="J248" s="45">
        <f t="shared" si="20"/>
        <v>0.14219135484715054</v>
      </c>
      <c r="K248" s="45">
        <f t="shared" si="17"/>
        <v>1654.5903109486608</v>
      </c>
      <c r="L248" s="34">
        <f t="shared" si="18"/>
        <v>94.318998876830136</v>
      </c>
      <c r="M248" s="45">
        <f t="shared" si="19"/>
        <v>1805.2821235183103</v>
      </c>
    </row>
    <row r="249" spans="4:13" x14ac:dyDescent="0.35">
      <c r="D249" s="11">
        <v>38</v>
      </c>
      <c r="E249" s="56">
        <v>3.0400000000000002E-3</v>
      </c>
      <c r="F249" s="34">
        <f>E249/ (1 + $J$4)</f>
        <v>2.9514563106796117E-3</v>
      </c>
      <c r="G249" s="34">
        <f t="shared" si="21"/>
        <v>3.0320974757281553E-3</v>
      </c>
      <c r="H249" s="53">
        <v>21</v>
      </c>
      <c r="I249" s="13">
        <v>0.10365471068645839</v>
      </c>
      <c r="J249" s="45">
        <f t="shared" si="20"/>
        <v>0.12603824650743375</v>
      </c>
      <c r="K249" s="45">
        <f t="shared" si="17"/>
        <v>1605.2689396083153</v>
      </c>
      <c r="L249" s="34">
        <f t="shared" si="18"/>
        <v>87.784459932382703</v>
      </c>
      <c r="M249" s="45">
        <f t="shared" si="19"/>
        <v>1751.4688082831426</v>
      </c>
    </row>
    <row r="250" spans="4:13" x14ac:dyDescent="0.35">
      <c r="D250" s="11">
        <v>39</v>
      </c>
      <c r="E250" s="56">
        <v>3.2499999999999999E-3</v>
      </c>
      <c r="F250" s="34">
        <f>E250/ (1 + $J$4)</f>
        <v>3.1553398058252425E-3</v>
      </c>
      <c r="G250" s="34">
        <f t="shared" si="21"/>
        <v>3.2415515776699029E-3</v>
      </c>
      <c r="H250" s="53">
        <v>22</v>
      </c>
      <c r="I250" s="13">
        <v>0.10483207273381266</v>
      </c>
      <c r="J250" s="45">
        <f t="shared" si="20"/>
        <v>0.11155318938576787</v>
      </c>
      <c r="K250" s="45">
        <f t="shared" si="17"/>
        <v>1557.688171786722</v>
      </c>
      <c r="L250" s="34">
        <f t="shared" si="18"/>
        <v>81.580540773043936</v>
      </c>
      <c r="M250" s="45">
        <f t="shared" si="19"/>
        <v>1699.5546220321978</v>
      </c>
    </row>
    <row r="251" spans="4:13" x14ac:dyDescent="0.35">
      <c r="D251" s="11">
        <v>40</v>
      </c>
      <c r="E251" s="56">
        <v>3.5000000000000001E-3</v>
      </c>
      <c r="F251" s="34">
        <f>E251/(1+$J$5)</f>
        <v>3.3333333333333331E-3</v>
      </c>
      <c r="G251" s="34">
        <f t="shared" si="21"/>
        <v>3.4851249999999999E-3</v>
      </c>
      <c r="H251" s="53">
        <v>23</v>
      </c>
      <c r="I251" s="13">
        <v>0.1059774248248268</v>
      </c>
      <c r="J251" s="45">
        <f t="shared" si="20"/>
        <v>9.8590704088064834E-2</v>
      </c>
      <c r="K251" s="45">
        <f t="shared" si="17"/>
        <v>1509.3340516754654</v>
      </c>
      <c r="L251" s="34">
        <f t="shared" si="18"/>
        <v>75.705922429788586</v>
      </c>
      <c r="M251" s="45">
        <f t="shared" si="19"/>
        <v>1646.7966504318083</v>
      </c>
    </row>
    <row r="252" spans="4:13" x14ac:dyDescent="0.35">
      <c r="D252" s="11">
        <v>41</v>
      </c>
      <c r="E252" s="56">
        <v>3.7699999999999999E-3</v>
      </c>
      <c r="F252" s="34">
        <f t="shared" ref="F252:F259" si="22">E252/(1+$J$5)</f>
        <v>3.5904761904761904E-3</v>
      </c>
      <c r="G252" s="34">
        <f t="shared" si="21"/>
        <v>3.7539774999999997E-3</v>
      </c>
      <c r="H252" s="53">
        <v>24</v>
      </c>
      <c r="I252" s="13">
        <v>0.10709246155324412</v>
      </c>
      <c r="J252" s="45">
        <f t="shared" si="20"/>
        <v>8.7013483267904382E-2</v>
      </c>
      <c r="K252" s="45">
        <f t="shared" si="17"/>
        <v>1461.0354872347216</v>
      </c>
      <c r="L252" s="34">
        <f t="shared" si="18"/>
        <v>70.15679499741286</v>
      </c>
      <c r="M252" s="45">
        <f t="shared" si="19"/>
        <v>1594.099294234624</v>
      </c>
    </row>
    <row r="253" spans="4:13" x14ac:dyDescent="0.35">
      <c r="D253" s="11">
        <v>42</v>
      </c>
      <c r="E253" s="56">
        <v>4.0800000000000003E-3</v>
      </c>
      <c r="F253" s="34">
        <f t="shared" si="22"/>
        <v>3.8857142857142857E-3</v>
      </c>
      <c r="G253" s="34">
        <f t="shared" si="21"/>
        <v>4.0626600000000001E-3</v>
      </c>
      <c r="H253" s="53">
        <v>25</v>
      </c>
      <c r="I253" s="13">
        <v>0.10817874640901437</v>
      </c>
      <c r="J253" s="45">
        <f t="shared" si="20"/>
        <v>7.6692798278414034E-2</v>
      </c>
      <c r="K253" s="45">
        <f t="shared" si="17"/>
        <v>1351.7939313943066</v>
      </c>
      <c r="L253" s="34">
        <f t="shared" si="18"/>
        <v>64.927259095376812</v>
      </c>
      <c r="M253" s="45">
        <f t="shared" si="19"/>
        <v>1536.4658798469109</v>
      </c>
    </row>
    <row r="254" spans="4:13" x14ac:dyDescent="0.35">
      <c r="D254" s="11">
        <v>43</v>
      </c>
      <c r="E254" s="56">
        <v>4.4299999999999999E-3</v>
      </c>
      <c r="F254" s="34">
        <f t="shared" si="22"/>
        <v>4.2190476190476188E-3</v>
      </c>
      <c r="G254" s="34">
        <f t="shared" si="21"/>
        <v>4.4111724999999994E-3</v>
      </c>
      <c r="H254" s="53">
        <v>26</v>
      </c>
      <c r="I254" s="13">
        <v>0.10923772496294443</v>
      </c>
      <c r="J254" s="45">
        <f t="shared" si="20"/>
        <v>6.7508674799524659E-2</v>
      </c>
      <c r="K254" s="45">
        <f t="shared" si="17"/>
        <v>1305.559067427329</v>
      </c>
      <c r="L254" s="34">
        <f t="shared" si="18"/>
        <v>60.009687795996797</v>
      </c>
      <c r="M254" s="45">
        <f t="shared" si="19"/>
        <v>1483.9147555262448</v>
      </c>
    </row>
    <row r="255" spans="4:13" x14ac:dyDescent="0.35">
      <c r="D255" s="11">
        <v>44</v>
      </c>
      <c r="E255" s="56">
        <v>4.8199999999999996E-3</v>
      </c>
      <c r="F255" s="34">
        <f t="shared" si="22"/>
        <v>4.59047619047619E-3</v>
      </c>
      <c r="G255" s="34">
        <f t="shared" si="21"/>
        <v>4.799514999999999E-3</v>
      </c>
      <c r="H255" s="53">
        <v>27</v>
      </c>
      <c r="I255" s="13">
        <v>0.11027073643449847</v>
      </c>
      <c r="J255" s="45">
        <f t="shared" si="20"/>
        <v>5.9349885236418126E-2</v>
      </c>
      <c r="K255" s="45">
        <f t="shared" si="17"/>
        <v>1259.2497389292198</v>
      </c>
      <c r="L255" s="34">
        <f t="shared" si="18"/>
        <v>55.395051066538009</v>
      </c>
      <c r="M255" s="45">
        <f t="shared" si="19"/>
        <v>1431.2789938886874</v>
      </c>
    </row>
    <row r="256" spans="4:13" x14ac:dyDescent="0.35">
      <c r="D256" s="11">
        <v>45</v>
      </c>
      <c r="E256" s="56">
        <v>5.2599999999999999E-3</v>
      </c>
      <c r="F256" s="34">
        <f t="shared" si="22"/>
        <v>5.0095238095238092E-3</v>
      </c>
      <c r="G256" s="34">
        <f t="shared" si="21"/>
        <v>5.2376449999999991E-3</v>
      </c>
      <c r="H256" s="53">
        <v>28</v>
      </c>
      <c r="I256" s="13">
        <v>0.11127902387499437</v>
      </c>
      <c r="J256" s="45">
        <f t="shared" si="20"/>
        <v>5.2113798420055563E-2</v>
      </c>
      <c r="K256" s="45">
        <f t="shared" si="17"/>
        <v>1212.2122675969447</v>
      </c>
      <c r="L256" s="34">
        <f t="shared" si="18"/>
        <v>51.073204925555061</v>
      </c>
      <c r="M256" s="45">
        <f t="shared" si="19"/>
        <v>1377.8156160040321</v>
      </c>
    </row>
    <row r="257" spans="4:13" x14ac:dyDescent="0.35">
      <c r="D257" s="11">
        <v>46</v>
      </c>
      <c r="E257" s="56">
        <v>5.7400000000000003E-3</v>
      </c>
      <c r="F257" s="34">
        <f t="shared" si="22"/>
        <v>5.4666666666666665E-3</v>
      </c>
      <c r="G257" s="34">
        <f t="shared" si="21"/>
        <v>5.7156050000000003E-3</v>
      </c>
      <c r="H257" s="53">
        <v>29</v>
      </c>
      <c r="I257" s="13">
        <v>0.11226374316043143</v>
      </c>
      <c r="J257" s="45">
        <f t="shared" si="20"/>
        <v>4.5706120721999303E-2</v>
      </c>
      <c r="K257" s="45">
        <f t="shared" si="17"/>
        <v>1165.3073561469735</v>
      </c>
      <c r="L257" s="34">
        <f t="shared" si="18"/>
        <v>47.033147607657298</v>
      </c>
      <c r="M257" s="45">
        <f t="shared" si="19"/>
        <v>1324.502907338602</v>
      </c>
    </row>
    <row r="258" spans="4:13" x14ac:dyDescent="0.35">
      <c r="D258" s="11">
        <v>47</v>
      </c>
      <c r="E258" s="56">
        <v>6.28E-3</v>
      </c>
      <c r="F258" s="34">
        <f t="shared" si="22"/>
        <v>5.9809523809523811E-3</v>
      </c>
      <c r="G258" s="34">
        <f t="shared" si="21"/>
        <v>6.2533099999999998E-3</v>
      </c>
      <c r="H258" s="53">
        <v>30</v>
      </c>
      <c r="I258" s="13">
        <v>0.11322597095712007</v>
      </c>
      <c r="J258" s="45">
        <f t="shared" si="20"/>
        <v>4.0040557063625352E-2</v>
      </c>
      <c r="K258" s="45">
        <f t="shared" si="17"/>
        <v>1118.0019889678349</v>
      </c>
      <c r="L258" s="34">
        <f t="shared" si="18"/>
        <v>43.263245074480146</v>
      </c>
      <c r="M258" s="45">
        <f t="shared" si="19"/>
        <v>1270.735035685703</v>
      </c>
    </row>
    <row r="259" spans="4:13" x14ac:dyDescent="0.35">
      <c r="D259" s="11">
        <v>48</v>
      </c>
      <c r="E259" s="56">
        <v>6.8599999999999998E-3</v>
      </c>
      <c r="F259" s="34">
        <f t="shared" si="22"/>
        <v>6.5333333333333328E-3</v>
      </c>
      <c r="G259" s="34">
        <f t="shared" si="21"/>
        <v>6.8308449999999995E-3</v>
      </c>
      <c r="H259" s="53">
        <v>31</v>
      </c>
      <c r="I259" s="13">
        <v>0.11416671179777155</v>
      </c>
      <c r="J259" s="45">
        <f t="shared" si="20"/>
        <v>3.5038415390653437E-2</v>
      </c>
      <c r="K259" s="45">
        <f t="shared" si="17"/>
        <v>1070.347419716222</v>
      </c>
      <c r="L259" s="34">
        <f t="shared" si="18"/>
        <v>39.751428211686523</v>
      </c>
      <c r="M259" s="45">
        <f t="shared" si="19"/>
        <v>1216.5702565922043</v>
      </c>
    </row>
    <row r="260" spans="4:13" x14ac:dyDescent="0.35">
      <c r="D260" s="11">
        <v>49</v>
      </c>
      <c r="E260" s="56">
        <v>7.4999999999999997E-3</v>
      </c>
      <c r="F260" s="34">
        <f>E260/(1+$J$5)</f>
        <v>7.1428571428571426E-3</v>
      </c>
      <c r="G260" s="34">
        <f t="shared" si="21"/>
        <v>7.4681249999999991E-3</v>
      </c>
      <c r="H260" s="53">
        <v>32</v>
      </c>
      <c r="I260" s="13">
        <v>0.11508690438465255</v>
      </c>
      <c r="J260" s="45">
        <f t="shared" si="20"/>
        <v>3.0628173932856908E-2</v>
      </c>
      <c r="K260" s="45">
        <f t="shared" si="17"/>
        <v>1022.7146774101783</v>
      </c>
      <c r="L260" s="34">
        <f t="shared" si="18"/>
        <v>36.485364020068474</v>
      </c>
      <c r="M260" s="45">
        <f t="shared" si="19"/>
        <v>1162.4302862778763</v>
      </c>
    </row>
    <row r="261" spans="4:13" x14ac:dyDescent="0.35">
      <c r="D261" s="11">
        <v>50</v>
      </c>
      <c r="E261" s="56">
        <v>8.2000000000000007E-3</v>
      </c>
      <c r="F261" s="34">
        <f>E261/(1+$J$6)</f>
        <v>7.4545454545454541E-3</v>
      </c>
      <c r="G261" s="34">
        <f t="shared" si="21"/>
        <v>8.1334681818181816E-3</v>
      </c>
      <c r="H261" s="53">
        <v>33</v>
      </c>
      <c r="I261" s="13">
        <v>0.11598742721895737</v>
      </c>
      <c r="J261" s="45">
        <f t="shared" si="20"/>
        <v>2.6745026911520524E-2</v>
      </c>
      <c r="K261" s="45">
        <f t="shared" si="17"/>
        <v>974.91437228777431</v>
      </c>
      <c r="L261" s="34">
        <f t="shared" si="18"/>
        <v>33.452603050026191</v>
      </c>
      <c r="M261" s="45">
        <f t="shared" si="19"/>
        <v>1108.0998619719378</v>
      </c>
    </row>
    <row r="262" spans="4:13" x14ac:dyDescent="0.35">
      <c r="D262" s="11">
        <v>51</v>
      </c>
      <c r="E262" s="56">
        <v>8.9599999999999992E-3</v>
      </c>
      <c r="F262" s="34">
        <f t="shared" ref="F262:F270" si="23">E262/(1+$J$6)</f>
        <v>8.1454545454545443E-3</v>
      </c>
      <c r="G262" s="34">
        <f t="shared" si="21"/>
        <v>8.8873018181818159E-3</v>
      </c>
      <c r="H262" s="53">
        <v>34</v>
      </c>
      <c r="I262" s="13">
        <v>0.11686910364102129</v>
      </c>
      <c r="J262" s="45">
        <f t="shared" si="20"/>
        <v>2.3330421231420422E-2</v>
      </c>
      <c r="K262" s="45">
        <f t="shared" si="17"/>
        <v>927.53639887003612</v>
      </c>
      <c r="L262" s="34">
        <f t="shared" si="18"/>
        <v>30.640705248789416</v>
      </c>
      <c r="M262" s="45">
        <f t="shared" si="19"/>
        <v>1054.2494651606692</v>
      </c>
    </row>
    <row r="263" spans="4:13" x14ac:dyDescent="0.35">
      <c r="D263" s="11">
        <v>52</v>
      </c>
      <c r="E263" s="56">
        <v>9.7900000000000001E-3</v>
      </c>
      <c r="F263" s="34">
        <f t="shared" si="23"/>
        <v>8.8999999999999999E-3</v>
      </c>
      <c r="G263" s="34">
        <f t="shared" si="21"/>
        <v>9.7105674999999995E-3</v>
      </c>
      <c r="H263" s="53">
        <v>35</v>
      </c>
      <c r="I263" s="13">
        <v>0.1177327063538529</v>
      </c>
      <c r="J263" s="45">
        <f t="shared" si="20"/>
        <v>2.0331594040578573E-2</v>
      </c>
      <c r="K263" s="45">
        <f t="shared" si="17"/>
        <v>843.76115268401077</v>
      </c>
      <c r="L263" s="34">
        <f t="shared" si="18"/>
        <v>28.037346293869611</v>
      </c>
      <c r="M263" s="45">
        <f t="shared" si="19"/>
        <v>997.45224664540331</v>
      </c>
    </row>
    <row r="264" spans="4:13" x14ac:dyDescent="0.35">
      <c r="D264" s="11">
        <v>53</v>
      </c>
      <c r="E264" s="56">
        <v>1.0699999999999999E-2</v>
      </c>
      <c r="F264" s="34">
        <f t="shared" si="23"/>
        <v>9.7272727272727268E-3</v>
      </c>
      <c r="G264" s="34">
        <f t="shared" si="21"/>
        <v>1.061318409090909E-2</v>
      </c>
      <c r="H264" s="53">
        <v>36</v>
      </c>
      <c r="I264" s="13">
        <v>0.11857896149226954</v>
      </c>
      <c r="J264" s="45">
        <f t="shared" si="20"/>
        <v>1.7701118804225958E-2</v>
      </c>
      <c r="K264" s="45">
        <f t="shared" si="17"/>
        <v>799.35302333417064</v>
      </c>
      <c r="L264" s="34">
        <f t="shared" si="18"/>
        <v>25.63040637876772</v>
      </c>
      <c r="M264" s="45">
        <f t="shared" si="19"/>
        <v>944.95517653448974</v>
      </c>
    </row>
    <row r="265" spans="4:13" x14ac:dyDescent="0.35">
      <c r="D265" s="11">
        <v>54</v>
      </c>
      <c r="E265" s="56">
        <v>1.17E-2</v>
      </c>
      <c r="F265" s="34">
        <f t="shared" si="23"/>
        <v>1.0636363636363637E-2</v>
      </c>
      <c r="G265" s="34">
        <f t="shared" si="21"/>
        <v>1.1605070454545454E-2</v>
      </c>
      <c r="H265" s="53">
        <v>37</v>
      </c>
      <c r="I265" s="13">
        <v>0.1194085522913329</v>
      </c>
      <c r="J265" s="45">
        <f t="shared" si="20"/>
        <v>1.5396465667852657E-2</v>
      </c>
      <c r="K265" s="45">
        <f t="shared" si="17"/>
        <v>756.22307205269635</v>
      </c>
      <c r="L265" s="34">
        <f t="shared" si="18"/>
        <v>23.408043301651528</v>
      </c>
      <c r="M265" s="45">
        <f t="shared" si="19"/>
        <v>893.96910462709502</v>
      </c>
    </row>
    <row r="266" spans="4:13" x14ac:dyDescent="0.35">
      <c r="D266" s="11">
        <v>55</v>
      </c>
      <c r="E266" s="56">
        <v>1.2800000000000001E-2</v>
      </c>
      <c r="F266" s="34">
        <f t="shared" si="23"/>
        <v>1.1636363636363636E-2</v>
      </c>
      <c r="G266" s="34">
        <f t="shared" si="21"/>
        <v>1.2696145454545456E-2</v>
      </c>
      <c r="H266" s="53">
        <v>38</v>
      </c>
      <c r="I266" s="13">
        <v>0.12022212240052127</v>
      </c>
      <c r="J266" s="45">
        <f t="shared" si="20"/>
        <v>1.3379580330809087E-2</v>
      </c>
      <c r="K266" s="45">
        <f t="shared" si="17"/>
        <v>714.80407917347543</v>
      </c>
      <c r="L266" s="34">
        <f t="shared" si="18"/>
        <v>21.358751587723571</v>
      </c>
      <c r="M266" s="45">
        <f t="shared" si="19"/>
        <v>845.00564219492401</v>
      </c>
    </row>
    <row r="267" spans="4:13" x14ac:dyDescent="0.35">
      <c r="D267" s="11">
        <v>56</v>
      </c>
      <c r="E267" s="56">
        <v>1.401E-2</v>
      </c>
      <c r="F267" s="34">
        <f t="shared" si="23"/>
        <v>1.2736363636363636E-2</v>
      </c>
      <c r="G267" s="34">
        <f t="shared" si="21"/>
        <v>1.3896327954545453E-2</v>
      </c>
      <c r="H267" s="53">
        <v>39</v>
      </c>
      <c r="I267" s="13">
        <v>0.12102027888391569</v>
      </c>
      <c r="J267" s="45">
        <f t="shared" si="20"/>
        <v>1.1616484373854525E-2</v>
      </c>
      <c r="K267" s="45">
        <f t="shared" si="17"/>
        <v>675.11135019384551</v>
      </c>
      <c r="L267" s="34">
        <f t="shared" si="18"/>
        <v>19.471409253930535</v>
      </c>
      <c r="M267" s="45">
        <f t="shared" si="19"/>
        <v>798.08288263165434</v>
      </c>
    </row>
    <row r="268" spans="4:13" x14ac:dyDescent="0.35">
      <c r="D268" s="11">
        <v>57</v>
      </c>
      <c r="E268" s="56">
        <v>1.536E-2</v>
      </c>
      <c r="F268" s="34">
        <f t="shared" si="23"/>
        <v>1.3963636363636362E-2</v>
      </c>
      <c r="G268" s="34">
        <f t="shared" si="21"/>
        <v>1.5235374545454544E-2</v>
      </c>
      <c r="H268" s="53">
        <v>40</v>
      </c>
      <c r="I268" s="13">
        <v>0.1218035949414335</v>
      </c>
      <c r="J268" s="45">
        <f t="shared" si="20"/>
        <v>1.007689894281855E-2</v>
      </c>
      <c r="K268" s="45">
        <f t="shared" si="17"/>
        <v>637.1959098175596</v>
      </c>
      <c r="L268" s="34">
        <f t="shared" si="18"/>
        <v>17.735313702665852</v>
      </c>
      <c r="M268" s="45">
        <f t="shared" si="19"/>
        <v>753.2611447908281</v>
      </c>
    </row>
    <row r="269" spans="4:13" x14ac:dyDescent="0.35">
      <c r="D269" s="11">
        <v>58</v>
      </c>
      <c r="E269" s="56">
        <v>1.6840000000000001E-2</v>
      </c>
      <c r="F269" s="34">
        <f t="shared" si="23"/>
        <v>1.5309090909090909E-2</v>
      </c>
      <c r="G269" s="34">
        <f t="shared" si="21"/>
        <v>1.6703366363636365E-2</v>
      </c>
      <c r="H269" s="53">
        <v>41</v>
      </c>
      <c r="I269" s="13">
        <v>0.12257261238166642</v>
      </c>
      <c r="J269" s="45">
        <f t="shared" si="20"/>
        <v>8.7338928517682376E-3</v>
      </c>
      <c r="K269" s="45">
        <f t="shared" si="17"/>
        <v>601.11017552294891</v>
      </c>
      <c r="L269" s="34">
        <f t="shared" si="18"/>
        <v>16.14020811095557</v>
      </c>
      <c r="M269" s="45">
        <f t="shared" si="19"/>
        <v>710.60239399445402</v>
      </c>
    </row>
    <row r="270" spans="4:13" x14ac:dyDescent="0.35">
      <c r="D270" s="11">
        <v>59</v>
      </c>
      <c r="E270" s="56">
        <v>1.847E-2</v>
      </c>
      <c r="F270" s="34">
        <f t="shared" si="23"/>
        <v>1.6790909090909089E-2</v>
      </c>
      <c r="G270" s="34">
        <f t="shared" si="21"/>
        <v>1.8320141136363637E-2</v>
      </c>
      <c r="H270" s="53">
        <v>42</v>
      </c>
      <c r="I270" s="13">
        <v>0.12332784387304367</v>
      </c>
      <c r="J270" s="45">
        <f t="shared" si="20"/>
        <v>7.5635555022303567E-3</v>
      </c>
      <c r="K270" s="45">
        <f t="shared" si="17"/>
        <v>566.76242563379481</v>
      </c>
      <c r="L270" s="34">
        <f t="shared" si="18"/>
        <v>14.676299564637768</v>
      </c>
      <c r="M270" s="45">
        <f t="shared" si="19"/>
        <v>669.99820146299032</v>
      </c>
    </row>
    <row r="271" spans="4:13" x14ac:dyDescent="0.35">
      <c r="D271" s="11">
        <v>60</v>
      </c>
      <c r="E271" s="56">
        <v>2.027E-2</v>
      </c>
      <c r="F271" s="34">
        <f>E271/(1+$J$7)</f>
        <v>1.7626086956521739E-2</v>
      </c>
      <c r="G271" s="34">
        <f t="shared" si="21"/>
        <v>2.0034030760869563E-2</v>
      </c>
      <c r="H271" s="53">
        <v>43</v>
      </c>
      <c r="I271" s="13">
        <v>0.12406977499674747</v>
      </c>
      <c r="J271" s="45">
        <f t="shared" si="20"/>
        <v>6.5446944932551748E-3</v>
      </c>
      <c r="K271" s="45">
        <f t="shared" si="17"/>
        <v>534.04707064962213</v>
      </c>
      <c r="L271" s="34">
        <f t="shared" si="18"/>
        <v>13.334270074359917</v>
      </c>
      <c r="M271" s="45">
        <f t="shared" si="19"/>
        <v>631.32374456845082</v>
      </c>
    </row>
    <row r="272" spans="4:13" x14ac:dyDescent="0.35">
      <c r="D272" s="11">
        <v>61</v>
      </c>
      <c r="E272" s="56">
        <v>2.2239999999999999E-2</v>
      </c>
      <c r="F272" s="34">
        <f t="shared" ref="F272:F280" si="24">E272/(1+$J$7)</f>
        <v>1.9339130434782609E-2</v>
      </c>
      <c r="G272" s="34">
        <f t="shared" si="21"/>
        <v>2.1981097391304345E-2</v>
      </c>
      <c r="H272" s="53">
        <v>44</v>
      </c>
      <c r="I272" s="13">
        <v>0.12479886612196904</v>
      </c>
      <c r="J272" s="45">
        <f t="shared" si="20"/>
        <v>5.6585573968787562E-3</v>
      </c>
      <c r="K272" s="45">
        <f t="shared" si="17"/>
        <v>502.8571340026254</v>
      </c>
      <c r="L272" s="34">
        <f t="shared" si="18"/>
        <v>12.105281502590957</v>
      </c>
      <c r="M272" s="45">
        <f t="shared" si="19"/>
        <v>594.45256096120363</v>
      </c>
    </row>
    <row r="273" spans="4:13" x14ac:dyDescent="0.35">
      <c r="D273" s="11">
        <v>62</v>
      </c>
      <c r="E273" s="56">
        <v>2.4400000000000002E-2</v>
      </c>
      <c r="F273" s="34">
        <f t="shared" si="24"/>
        <v>2.121739130434783E-2</v>
      </c>
      <c r="G273" s="34">
        <f t="shared" si="21"/>
        <v>2.4115952173913043E-2</v>
      </c>
      <c r="H273" s="53">
        <v>45</v>
      </c>
      <c r="I273" s="13">
        <v>0.12551555412164103</v>
      </c>
      <c r="J273" s="45">
        <f t="shared" si="20"/>
        <v>4.8885768743967004E-3</v>
      </c>
      <c r="K273" s="45">
        <f t="shared" si="17"/>
        <v>436.70033263360682</v>
      </c>
      <c r="L273" s="34">
        <f t="shared" si="18"/>
        <v>10.980975328885771</v>
      </c>
      <c r="M273" s="45">
        <f t="shared" si="19"/>
        <v>556.017781017424</v>
      </c>
    </row>
    <row r="274" spans="4:13" x14ac:dyDescent="0.35">
      <c r="D274" s="11">
        <v>63</v>
      </c>
      <c r="E274" s="56">
        <v>2.6749999999999999E-2</v>
      </c>
      <c r="F274" s="34">
        <f t="shared" si="24"/>
        <v>2.3260869565217394E-2</v>
      </c>
      <c r="G274" s="34">
        <f t="shared" si="21"/>
        <v>2.6438595108695648E-2</v>
      </c>
      <c r="H274" s="53">
        <v>46</v>
      </c>
      <c r="I274" s="13">
        <v>0.12622025394465891</v>
      </c>
      <c r="J274" s="45">
        <f t="shared" si="20"/>
        <v>4.2201380930902144E-3</v>
      </c>
      <c r="K274" s="45">
        <f t="shared" si="17"/>
        <v>410.48958605481357</v>
      </c>
      <c r="L274" s="34">
        <f t="shared" si="18"/>
        <v>9.9534680847082591</v>
      </c>
      <c r="M274" s="45">
        <f t="shared" si="19"/>
        <v>522.64560320464</v>
      </c>
    </row>
    <row r="275" spans="4:13" x14ac:dyDescent="0.35">
      <c r="D275" s="11">
        <v>64</v>
      </c>
      <c r="E275" s="56">
        <v>2.9319999999999999E-2</v>
      </c>
      <c r="F275" s="34">
        <f t="shared" si="24"/>
        <v>2.5495652173913044E-2</v>
      </c>
      <c r="G275" s="34">
        <f t="shared" si="21"/>
        <v>2.8978676956521739E-2</v>
      </c>
      <c r="H275" s="53">
        <v>47</v>
      </c>
      <c r="I275" s="13">
        <v>0.12691336005875908</v>
      </c>
      <c r="J275" s="45">
        <f t="shared" si="20"/>
        <v>3.6403672554348181E-3</v>
      </c>
      <c r="K275" s="45">
        <f t="shared" si="17"/>
        <v>385.43088387542184</v>
      </c>
      <c r="L275" s="34">
        <f t="shared" si="18"/>
        <v>9.0153431994467041</v>
      </c>
      <c r="M275" s="45">
        <f t="shared" si="19"/>
        <v>490.74023712228393</v>
      </c>
    </row>
    <row r="276" spans="4:13" x14ac:dyDescent="0.35">
      <c r="D276" s="11">
        <v>65</v>
      </c>
      <c r="E276" s="56">
        <v>3.211E-2</v>
      </c>
      <c r="F276" s="34">
        <f t="shared" si="24"/>
        <v>2.7921739130434785E-2</v>
      </c>
      <c r="G276" s="34">
        <f t="shared" si="21"/>
        <v>3.17361977173913E-2</v>
      </c>
      <c r="H276" s="53">
        <v>48</v>
      </c>
      <c r="I276" s="13">
        <v>0.12759524777661654</v>
      </c>
      <c r="J276" s="45">
        <f t="shared" si="20"/>
        <v>3.1379399603709249E-3</v>
      </c>
      <c r="K276" s="45">
        <f t="shared" si="17"/>
        <v>361.49068343473056</v>
      </c>
      <c r="L276" s="34">
        <f t="shared" si="18"/>
        <v>8.1596399159332123</v>
      </c>
      <c r="M276" s="45">
        <f t="shared" si="19"/>
        <v>460.2589754161848</v>
      </c>
    </row>
    <row r="277" spans="4:13" x14ac:dyDescent="0.35">
      <c r="D277" s="11">
        <v>66</v>
      </c>
      <c r="E277" s="56">
        <v>3.5130000000000002E-2</v>
      </c>
      <c r="F277" s="34">
        <f t="shared" si="24"/>
        <v>3.0547826086956525E-2</v>
      </c>
      <c r="G277" s="34">
        <f t="shared" si="21"/>
        <v>3.472104097826087E-2</v>
      </c>
      <c r="H277" s="53">
        <v>49</v>
      </c>
      <c r="I277" s="13">
        <v>0.12826627447632327</v>
      </c>
      <c r="J277" s="45">
        <f t="shared" si="20"/>
        <v>2.7029080678747349E-3</v>
      </c>
      <c r="K277" s="45">
        <f t="shared" si="17"/>
        <v>338.6120061031379</v>
      </c>
      <c r="L277" s="34">
        <f t="shared" si="18"/>
        <v>7.3798398567758676</v>
      </c>
      <c r="M277" s="45">
        <f t="shared" si="19"/>
        <v>431.12927147066779</v>
      </c>
    </row>
    <row r="278" spans="4:13" x14ac:dyDescent="0.35">
      <c r="D278" s="11">
        <v>67</v>
      </c>
      <c r="E278" s="56">
        <v>3.8399999999999997E-2</v>
      </c>
      <c r="F278" s="34">
        <f t="shared" si="24"/>
        <v>3.3391304347826084E-2</v>
      </c>
      <c r="G278" s="34">
        <f t="shared" ref="G278:G309" si="25">F278 *$Z$228 + E278 *$Z$229</f>
        <v>3.7952973913043475E-2</v>
      </c>
      <c r="H278" s="53">
        <v>50</v>
      </c>
      <c r="I278" s="13">
        <v>0.12892678072618444</v>
      </c>
      <c r="J278" s="45">
        <f t="shared" si="20"/>
        <v>2.3265437245220269E-3</v>
      </c>
      <c r="K278" s="45">
        <f t="shared" si="17"/>
        <v>316.7499798485797</v>
      </c>
      <c r="L278" s="34">
        <f t="shared" si="18"/>
        <v>6.6698517520326179</v>
      </c>
      <c r="M278" s="45">
        <f t="shared" si="19"/>
        <v>403.29399309270786</v>
      </c>
    </row>
    <row r="279" spans="4:13" x14ac:dyDescent="0.35">
      <c r="D279" s="11">
        <v>68</v>
      </c>
      <c r="E279" s="56">
        <v>4.1919999999999999E-2</v>
      </c>
      <c r="F279" s="34">
        <f t="shared" si="24"/>
        <v>3.6452173913043479E-2</v>
      </c>
      <c r="G279" s="34">
        <f t="shared" si="25"/>
        <v>4.143199652173913E-2</v>
      </c>
      <c r="H279" s="53">
        <v>51</v>
      </c>
      <c r="I279" s="13">
        <v>0.12957709132269454</v>
      </c>
      <c r="J279" s="45">
        <f t="shared" si="20"/>
        <v>2.0011992211653178E-3</v>
      </c>
      <c r="K279" s="45">
        <f t="shared" si="17"/>
        <v>295.86960792921082</v>
      </c>
      <c r="L279" s="34">
        <f t="shared" si="18"/>
        <v>6.0239947740109212</v>
      </c>
      <c r="M279" s="45">
        <f t="shared" si="19"/>
        <v>376.70858155566947</v>
      </c>
    </row>
    <row r="280" spans="4:13" x14ac:dyDescent="0.35">
      <c r="D280" s="11">
        <v>69</v>
      </c>
      <c r="E280" s="56">
        <v>4.5719999999999997E-2</v>
      </c>
      <c r="F280" s="34">
        <f t="shared" si="24"/>
        <v>3.9756521739130433E-2</v>
      </c>
      <c r="G280" s="34">
        <f t="shared" si="25"/>
        <v>4.5187759565217388E-2</v>
      </c>
      <c r="H280" s="53">
        <v>52</v>
      </c>
      <c r="I280" s="13">
        <v>0.13021751624961386</v>
      </c>
      <c r="J280" s="45">
        <f t="shared" si="20"/>
        <v>1.7201813877430396E-3</v>
      </c>
      <c r="K280" s="45">
        <f t="shared" si="17"/>
        <v>275.78477294877251</v>
      </c>
      <c r="L280" s="34">
        <f t="shared" si="18"/>
        <v>5.4369808660453414</v>
      </c>
      <c r="M280" s="45">
        <f t="shared" si="19"/>
        <v>351.13606753770091</v>
      </c>
    </row>
    <row r="281" spans="4:13" x14ac:dyDescent="0.35">
      <c r="D281" s="11">
        <v>70</v>
      </c>
      <c r="E281" s="56">
        <v>4.9799999999999997E-2</v>
      </c>
      <c r="F281" s="34">
        <f>E281/(1+$J$8)</f>
        <v>4.1500000000000002E-2</v>
      </c>
      <c r="G281" s="34">
        <f t="shared" si="25"/>
        <v>4.9059224999999998E-2</v>
      </c>
      <c r="H281" s="53">
        <v>53</v>
      </c>
      <c r="I281" s="13">
        <v>0.13084835156523339</v>
      </c>
      <c r="J281" s="45">
        <f t="shared" si="20"/>
        <v>1.4776392792273721E-3</v>
      </c>
      <c r="K281" s="45">
        <f t="shared" si="17"/>
        <v>256.65457634580048</v>
      </c>
      <c r="L281" s="34">
        <f t="shared" si="18"/>
        <v>4.9038963987094188</v>
      </c>
      <c r="M281" s="45">
        <f t="shared" si="19"/>
        <v>326.77902296788182</v>
      </c>
    </row>
    <row r="282" spans="4:13" x14ac:dyDescent="0.35">
      <c r="D282" s="11">
        <v>71</v>
      </c>
      <c r="E282" s="56">
        <v>5.4190000000000002E-2</v>
      </c>
      <c r="F282" s="34">
        <f t="shared" ref="F282:F290" si="26">E282/(1+$J$8)</f>
        <v>4.5158333333333335E-2</v>
      </c>
      <c r="G282" s="34">
        <f t="shared" si="25"/>
        <v>5.3383923749999999E-2</v>
      </c>
      <c r="H282" s="53">
        <v>54</v>
      </c>
      <c r="I282" s="13">
        <v>0.13146988022418676</v>
      </c>
      <c r="J282" s="45">
        <f t="shared" si="20"/>
        <v>1.2684639663916347E-3</v>
      </c>
      <c r="K282" s="45">
        <f t="shared" si="17"/>
        <v>238.47122568162735</v>
      </c>
      <c r="L282" s="34">
        <f t="shared" si="18"/>
        <v>4.4201834387684862</v>
      </c>
      <c r="M282" s="45">
        <f t="shared" si="19"/>
        <v>303.62752631848997</v>
      </c>
    </row>
    <row r="283" spans="4:13" x14ac:dyDescent="0.35">
      <c r="D283" s="11">
        <v>72</v>
      </c>
      <c r="E283" s="56">
        <v>5.8939999999999999E-2</v>
      </c>
      <c r="F283" s="34">
        <f t="shared" si="26"/>
        <v>4.911666666666667E-2</v>
      </c>
      <c r="G283" s="34">
        <f t="shared" si="25"/>
        <v>5.8063267500000001E-2</v>
      </c>
      <c r="H283" s="53">
        <v>55</v>
      </c>
      <c r="I283" s="13">
        <v>0.13208237283951788</v>
      </c>
      <c r="J283" s="45">
        <f t="shared" si="20"/>
        <v>1.0881993118576812E-3</v>
      </c>
      <c r="K283" s="45">
        <f t="shared" si="17"/>
        <v>221.19743704491708</v>
      </c>
      <c r="L283" s="34">
        <f t="shared" si="18"/>
        <v>3.9816208729502645</v>
      </c>
      <c r="M283" s="45">
        <f t="shared" si="19"/>
        <v>281.63410678151456</v>
      </c>
    </row>
    <row r="284" spans="4:13" x14ac:dyDescent="0.35">
      <c r="D284" s="11">
        <v>73</v>
      </c>
      <c r="E284" s="56">
        <v>6.411E-2</v>
      </c>
      <c r="F284" s="34">
        <f t="shared" si="26"/>
        <v>5.3425E-2</v>
      </c>
      <c r="G284" s="34">
        <f t="shared" si="25"/>
        <v>6.315636375E-2</v>
      </c>
      <c r="H284" s="53">
        <v>56</v>
      </c>
      <c r="I284" s="13">
        <v>0.13268608839014268</v>
      </c>
      <c r="J284" s="45">
        <f t="shared" si="20"/>
        <v>9.3296268289994901E-4</v>
      </c>
      <c r="K284" s="45">
        <f t="shared" si="17"/>
        <v>204.80683880460575</v>
      </c>
      <c r="L284" s="34">
        <f t="shared" si="18"/>
        <v>3.5843055899893228</v>
      </c>
      <c r="M284" s="45">
        <f t="shared" si="19"/>
        <v>260.76518733699413</v>
      </c>
    </row>
    <row r="285" spans="4:13" x14ac:dyDescent="0.35">
      <c r="D285" s="11">
        <v>74</v>
      </c>
      <c r="E285" s="56">
        <v>6.9739999999999996E-2</v>
      </c>
      <c r="F285" s="34">
        <f t="shared" si="26"/>
        <v>5.8116666666666664E-2</v>
      </c>
      <c r="G285" s="34">
        <f t="shared" si="25"/>
        <v>6.8702617499999993E-2</v>
      </c>
      <c r="H285" s="53">
        <v>57</v>
      </c>
      <c r="I285" s="13">
        <v>0.13328127487833322</v>
      </c>
      <c r="J285" s="45">
        <f t="shared" si="20"/>
        <v>7.9937462545121875E-4</v>
      </c>
      <c r="K285" s="45">
        <f t="shared" si="17"/>
        <v>189.29191130684859</v>
      </c>
      <c r="L285" s="34">
        <f t="shared" si="18"/>
        <v>3.2246338900438896</v>
      </c>
      <c r="M285" s="45">
        <f t="shared" si="19"/>
        <v>241.01119377366231</v>
      </c>
    </row>
    <row r="286" spans="4:13" x14ac:dyDescent="0.35">
      <c r="D286" s="11">
        <v>75</v>
      </c>
      <c r="E286" s="56">
        <v>7.5880000000000003E-2</v>
      </c>
      <c r="F286" s="34">
        <f t="shared" si="26"/>
        <v>6.3233333333333336E-2</v>
      </c>
      <c r="G286" s="34">
        <f t="shared" si="25"/>
        <v>7.4751285000000001E-2</v>
      </c>
      <c r="H286" s="53">
        <v>58</v>
      </c>
      <c r="I286" s="13">
        <v>0.13386816994140266</v>
      </c>
      <c r="J286" s="45">
        <f t="shared" si="20"/>
        <v>6.8449659690012561E-4</v>
      </c>
      <c r="K286" s="45">
        <f t="shared" si="17"/>
        <v>174.60455115234666</v>
      </c>
      <c r="L286" s="34">
        <f t="shared" si="18"/>
        <v>2.8992832601795913</v>
      </c>
      <c r="M286" s="45">
        <f t="shared" si="19"/>
        <v>222.31087964094661</v>
      </c>
    </row>
    <row r="287" spans="4:13" x14ac:dyDescent="0.35">
      <c r="D287" s="11">
        <v>76</v>
      </c>
      <c r="E287" s="56">
        <v>8.2589999999999997E-2</v>
      </c>
      <c r="F287" s="34">
        <f t="shared" si="26"/>
        <v>6.8824999999999997E-2</v>
      </c>
      <c r="G287" s="34">
        <f t="shared" si="25"/>
        <v>8.1361473749999996E-2</v>
      </c>
      <c r="H287" s="53">
        <v>59</v>
      </c>
      <c r="I287" s="13">
        <v>0.13444700142136623</v>
      </c>
      <c r="J287" s="45">
        <f t="shared" si="20"/>
        <v>5.8577592722204445E-4</v>
      </c>
      <c r="K287" s="45">
        <f t="shared" si="17"/>
        <v>160.73240846105804</v>
      </c>
      <c r="L287" s="34">
        <f t="shared" si="18"/>
        <v>2.6051946278292406</v>
      </c>
      <c r="M287" s="45">
        <f t="shared" si="19"/>
        <v>204.64852076283063</v>
      </c>
    </row>
    <row r="288" spans="4:13" x14ac:dyDescent="0.35">
      <c r="D288" s="11">
        <v>77</v>
      </c>
      <c r="E288" s="56">
        <v>8.992E-2</v>
      </c>
      <c r="F288" s="34">
        <f t="shared" si="26"/>
        <v>7.4933333333333338E-2</v>
      </c>
      <c r="G288" s="34">
        <f t="shared" si="25"/>
        <v>8.8582439999999985E-2</v>
      </c>
      <c r="H288" s="53">
        <v>60</v>
      </c>
      <c r="I288" s="13">
        <v>0.13501798789599639</v>
      </c>
      <c r="J288" s="45">
        <f t="shared" si="20"/>
        <v>5.0099724772472375E-4</v>
      </c>
      <c r="K288" s="45">
        <f t="shared" si="17"/>
        <v>147.64388890447609</v>
      </c>
      <c r="L288" s="34">
        <f t="shared" si="18"/>
        <v>2.3395551806735213</v>
      </c>
      <c r="M288" s="45">
        <f t="shared" si="19"/>
        <v>187.98389045040156</v>
      </c>
    </row>
    <row r="289" spans="4:13" x14ac:dyDescent="0.35">
      <c r="D289" s="11">
        <v>78</v>
      </c>
      <c r="E289" s="56">
        <v>9.7919999999999993E-2</v>
      </c>
      <c r="F289" s="34">
        <f t="shared" si="26"/>
        <v>8.1599999999999992E-2</v>
      </c>
      <c r="G289" s="34">
        <f t="shared" si="25"/>
        <v>9.6463439999999984E-2</v>
      </c>
      <c r="H289" s="53">
        <v>61</v>
      </c>
      <c r="I289" s="13">
        <v>0.13558133917436932</v>
      </c>
      <c r="J289" s="45">
        <f t="shared" si="20"/>
        <v>4.2823969347510353E-4</v>
      </c>
      <c r="K289" s="45">
        <f t="shared" si="17"/>
        <v>135.31715483515617</v>
      </c>
      <c r="L289" s="34">
        <f t="shared" si="18"/>
        <v>2.0997818209367201</v>
      </c>
      <c r="M289" s="45">
        <f t="shared" si="19"/>
        <v>172.28918446499173</v>
      </c>
    </row>
    <row r="290" spans="4:13" x14ac:dyDescent="0.35">
      <c r="D290" s="11">
        <v>79</v>
      </c>
      <c r="E290" s="56">
        <v>0.10664</v>
      </c>
      <c r="F290" s="34">
        <f t="shared" si="26"/>
        <v>8.8866666666666663E-2</v>
      </c>
      <c r="G290" s="34">
        <f t="shared" si="25"/>
        <v>0.10505373</v>
      </c>
      <c r="H290" s="53">
        <v>62</v>
      </c>
      <c r="I290" s="13">
        <v>0.13613725675971472</v>
      </c>
      <c r="J290" s="45">
        <f t="shared" si="20"/>
        <v>3.658392487952971E-4</v>
      </c>
      <c r="K290" s="45">
        <f t="shared" si="17"/>
        <v>123.72683394256948</v>
      </c>
      <c r="L290" s="34">
        <f t="shared" si="18"/>
        <v>1.8835053043785128</v>
      </c>
      <c r="M290" s="45">
        <f t="shared" si="19"/>
        <v>157.53209814652803</v>
      </c>
    </row>
    <row r="291" spans="4:13" x14ac:dyDescent="0.35">
      <c r="D291" s="11">
        <v>80</v>
      </c>
      <c r="E291" s="56">
        <v>0.11613</v>
      </c>
      <c r="F291" s="34">
        <f>E291/(1+$J$9)</f>
        <v>8.9330769230769227E-2</v>
      </c>
      <c r="G291" s="34">
        <f t="shared" si="25"/>
        <v>0.11373816865384614</v>
      </c>
      <c r="H291" s="53">
        <v>63</v>
      </c>
      <c r="I291" s="13">
        <v>0.13668593428212397</v>
      </c>
      <c r="J291" s="45">
        <f t="shared" si="20"/>
        <v>3.1235566474672755E-4</v>
      </c>
      <c r="K291" s="45">
        <f t="shared" si="17"/>
        <v>112.84689346534468</v>
      </c>
      <c r="L291" s="34">
        <f t="shared" si="18"/>
        <v>1.6885550990154887</v>
      </c>
      <c r="M291" s="45">
        <f t="shared" si="19"/>
        <v>143.67948593241346</v>
      </c>
    </row>
    <row r="292" spans="4:13" x14ac:dyDescent="0.35">
      <c r="D292" s="11">
        <v>81</v>
      </c>
      <c r="E292" s="56">
        <v>0.12645000000000001</v>
      </c>
      <c r="F292" s="34">
        <f t="shared" ref="F292:F331" si="27">E292/(1+$J$9)</f>
        <v>9.7269230769230774E-2</v>
      </c>
      <c r="G292" s="34">
        <f t="shared" si="25"/>
        <v>0.12384561634615385</v>
      </c>
      <c r="H292" s="53">
        <v>64</v>
      </c>
      <c r="I292" s="13">
        <v>0.1372275579034416</v>
      </c>
      <c r="J292" s="45">
        <f t="shared" si="20"/>
        <v>2.6654343308341283E-4</v>
      </c>
      <c r="K292" s="45">
        <f t="shared" si="17"/>
        <v>102.65407741682483</v>
      </c>
      <c r="L292" s="34">
        <f t="shared" si="18"/>
        <v>1.5129449855740003</v>
      </c>
      <c r="M292" s="45">
        <f t="shared" si="19"/>
        <v>130.7017377190368</v>
      </c>
    </row>
    <row r="293" spans="4:13" x14ac:dyDescent="0.35">
      <c r="D293" s="11">
        <v>82</v>
      </c>
      <c r="E293" s="56">
        <v>0.13764000000000001</v>
      </c>
      <c r="F293" s="34">
        <f t="shared" si="27"/>
        <v>0.10587692307692308</v>
      </c>
      <c r="G293" s="34">
        <f t="shared" si="25"/>
        <v>0.13480514538461538</v>
      </c>
      <c r="H293" s="53">
        <v>65</v>
      </c>
      <c r="I293" s="13">
        <v>0.137762306696459</v>
      </c>
      <c r="J293" s="45">
        <f t="shared" si="20"/>
        <v>2.2732635268585347E-4</v>
      </c>
      <c r="K293" s="45">
        <f t="shared" ref="K293:K313" si="28">F311*1000000*J293</f>
        <v>93.125114709885565</v>
      </c>
      <c r="L293" s="34">
        <f t="shared" ref="L293:L313" si="29">250*J293*(1.05)^H293</f>
        <v>1.3548594106279124</v>
      </c>
      <c r="M293" s="45">
        <f t="shared" ref="M293:M313" si="30">G311*1000000*J293</f>
        <v>118.56922417649407</v>
      </c>
    </row>
    <row r="294" spans="4:13" x14ac:dyDescent="0.35">
      <c r="D294" s="11">
        <v>83</v>
      </c>
      <c r="E294" s="56">
        <v>0.14976</v>
      </c>
      <c r="F294" s="34">
        <f t="shared" si="27"/>
        <v>0.1152</v>
      </c>
      <c r="G294" s="34">
        <f t="shared" si="25"/>
        <v>0.14667552</v>
      </c>
      <c r="H294" s="53">
        <v>66</v>
      </c>
      <c r="I294" s="13">
        <v>0.13829035300034292</v>
      </c>
      <c r="J294" s="45">
        <f t="shared" ref="J294:J313" si="31">1/(1+I294)^H294</f>
        <v>1.9377527201136816E-4</v>
      </c>
      <c r="K294" s="45">
        <f t="shared" si="28"/>
        <v>84.237091901372679</v>
      </c>
      <c r="L294" s="34">
        <f t="shared" si="29"/>
        <v>1.2126405940894667</v>
      </c>
      <c r="M294" s="45">
        <f t="shared" si="30"/>
        <v>107.25277133612525</v>
      </c>
    </row>
    <row r="295" spans="4:13" x14ac:dyDescent="0.35">
      <c r="D295" s="11">
        <v>84</v>
      </c>
      <c r="E295" s="56">
        <v>0.16286</v>
      </c>
      <c r="F295" s="34">
        <f t="shared" si="27"/>
        <v>0.12527692307692306</v>
      </c>
      <c r="G295" s="34">
        <f t="shared" si="25"/>
        <v>0.15950571038461539</v>
      </c>
      <c r="H295" s="53">
        <v>67</v>
      </c>
      <c r="I295" s="13">
        <v>0.13881186275406404</v>
      </c>
      <c r="J295" s="45">
        <f t="shared" si="31"/>
        <v>1.6508863470943594E-4</v>
      </c>
      <c r="K295" s="45">
        <f t="shared" si="28"/>
        <v>72.032092178801264</v>
      </c>
      <c r="L295" s="34">
        <f t="shared" si="29"/>
        <v>1.0847763850008214</v>
      </c>
      <c r="M295" s="45">
        <f t="shared" si="30"/>
        <v>91.713060564354222</v>
      </c>
    </row>
    <row r="296" spans="4:13" x14ac:dyDescent="0.35">
      <c r="D296" s="11">
        <v>85</v>
      </c>
      <c r="E296" s="56">
        <v>0.17699000000000001</v>
      </c>
      <c r="F296" s="34">
        <f t="shared" si="27"/>
        <v>0.13614615384615386</v>
      </c>
      <c r="G296" s="34">
        <f t="shared" si="25"/>
        <v>0.17334468673076925</v>
      </c>
      <c r="H296" s="53">
        <v>68</v>
      </c>
      <c r="I296" s="13">
        <v>0.13932699580943961</v>
      </c>
      <c r="J296" s="45">
        <f t="shared" si="31"/>
        <v>1.4057549539526541E-4</v>
      </c>
      <c r="K296" s="45">
        <f t="shared" si="28"/>
        <v>61.562524069688834</v>
      </c>
      <c r="L296" s="34">
        <f t="shared" si="29"/>
        <v>0.96988885323401719</v>
      </c>
      <c r="M296" s="45">
        <f t="shared" si="30"/>
        <v>78.382944708629566</v>
      </c>
    </row>
    <row r="297" spans="4:13" x14ac:dyDescent="0.35">
      <c r="D297" s="11">
        <v>86</v>
      </c>
      <c r="E297" s="56">
        <v>0.19220000000000001</v>
      </c>
      <c r="F297" s="34">
        <f t="shared" si="27"/>
        <v>0.14784615384615385</v>
      </c>
      <c r="G297" s="34">
        <f t="shared" si="25"/>
        <v>0.18824141923076923</v>
      </c>
      <c r="H297" s="53">
        <v>69</v>
      </c>
      <c r="I297" s="13">
        <v>0.13983590622526795</v>
      </c>
      <c r="J297" s="45">
        <f t="shared" si="31"/>
        <v>1.1964070882993926E-4</v>
      </c>
      <c r="K297" s="45">
        <f t="shared" si="28"/>
        <v>52.586934678683043</v>
      </c>
      <c r="L297" s="34">
        <f t="shared" si="29"/>
        <v>0.86672359957862954</v>
      </c>
      <c r="M297" s="45">
        <f t="shared" si="30"/>
        <v>66.95499990626621</v>
      </c>
    </row>
    <row r="298" spans="4:13" x14ac:dyDescent="0.35">
      <c r="D298" s="11">
        <v>87</v>
      </c>
      <c r="E298" s="56">
        <v>0.20841999999999999</v>
      </c>
      <c r="F298" s="34">
        <f t="shared" si="27"/>
        <v>0.1603230769230769</v>
      </c>
      <c r="G298" s="34">
        <f t="shared" si="25"/>
        <v>0.20412734961538462</v>
      </c>
      <c r="H298" s="53">
        <v>70</v>
      </c>
      <c r="I298" s="13">
        <v>0.1403387425439088</v>
      </c>
      <c r="J298" s="45">
        <f t="shared" si="31"/>
        <v>1.0177202862338506E-4</v>
      </c>
      <c r="K298" s="45">
        <f t="shared" si="28"/>
        <v>44.896612997942512</v>
      </c>
      <c r="L298" s="34">
        <f t="shared" si="29"/>
        <v>0.77413976262690298</v>
      </c>
      <c r="M298" s="45">
        <f t="shared" si="30"/>
        <v>57.163490084305352</v>
      </c>
    </row>
    <row r="299" spans="4:13" x14ac:dyDescent="0.35">
      <c r="D299" s="11">
        <v>88</v>
      </c>
      <c r="E299" s="56">
        <v>0.2258</v>
      </c>
      <c r="F299" s="34">
        <f t="shared" si="27"/>
        <v>0.17369230769230767</v>
      </c>
      <c r="G299" s="34">
        <f t="shared" si="25"/>
        <v>0.22114938846153845</v>
      </c>
      <c r="H299" s="53">
        <v>71</v>
      </c>
      <c r="I299" s="13">
        <v>0.14083564805155205</v>
      </c>
      <c r="J299" s="45">
        <f t="shared" si="31"/>
        <v>8.6528881273338344E-5</v>
      </c>
      <c r="K299" s="45">
        <f t="shared" si="28"/>
        <v>38.311286190125877</v>
      </c>
      <c r="L299" s="34">
        <f t="shared" si="29"/>
        <v>0.69110069771781935</v>
      </c>
      <c r="M299" s="45">
        <f t="shared" si="30"/>
        <v>48.778887359423017</v>
      </c>
    </row>
    <row r="300" spans="4:13" x14ac:dyDescent="0.35">
      <c r="D300" s="11">
        <v>89</v>
      </c>
      <c r="E300" s="56">
        <v>0.24440000000000001</v>
      </c>
      <c r="F300" s="34">
        <f t="shared" si="27"/>
        <v>0.188</v>
      </c>
      <c r="G300" s="34">
        <f t="shared" si="25"/>
        <v>0.23936629999999998</v>
      </c>
      <c r="H300" s="53">
        <v>72</v>
      </c>
      <c r="I300" s="13">
        <v>0.14132676102331548</v>
      </c>
      <c r="J300" s="45">
        <f t="shared" si="31"/>
        <v>7.3532608101849745E-5</v>
      </c>
      <c r="K300" s="45">
        <f t="shared" si="28"/>
        <v>32.675359821836963</v>
      </c>
      <c r="L300" s="34">
        <f t="shared" si="29"/>
        <v>0.61666530084736726</v>
      </c>
      <c r="M300" s="45">
        <f t="shared" si="30"/>
        <v>41.603085009158363</v>
      </c>
    </row>
    <row r="301" spans="4:13" x14ac:dyDescent="0.35">
      <c r="D301" s="11">
        <v>90</v>
      </c>
      <c r="E301" s="56">
        <v>0.26424999999999998</v>
      </c>
      <c r="F301" s="34">
        <f t="shared" si="27"/>
        <v>0.20326923076923076</v>
      </c>
      <c r="G301" s="34">
        <f t="shared" si="25"/>
        <v>0.25880746634615381</v>
      </c>
      <c r="H301" s="53">
        <v>73</v>
      </c>
      <c r="I301" s="13">
        <v>0.14181221495422103</v>
      </c>
      <c r="J301" s="45">
        <f t="shared" si="31"/>
        <v>6.2457991674649843E-5</v>
      </c>
      <c r="K301" s="45">
        <f t="shared" si="28"/>
        <v>27.8546367757646</v>
      </c>
      <c r="L301" s="34">
        <f t="shared" si="29"/>
        <v>0.54997994878236189</v>
      </c>
      <c r="M301" s="45">
        <f t="shared" si="30"/>
        <v>35.465219908822874</v>
      </c>
    </row>
    <row r="302" spans="4:13" x14ac:dyDescent="0.35">
      <c r="D302" s="11">
        <v>91</v>
      </c>
      <c r="E302" s="56">
        <v>0.28538000000000002</v>
      </c>
      <c r="F302" s="34">
        <f t="shared" si="27"/>
        <v>0.21952307692307693</v>
      </c>
      <c r="G302" s="34">
        <f t="shared" si="25"/>
        <v>0.27950226961538466</v>
      </c>
      <c r="H302" s="53">
        <v>74</v>
      </c>
      <c r="I302" s="13">
        <v>0.14229213877701422</v>
      </c>
      <c r="J302" s="45">
        <f t="shared" si="31"/>
        <v>5.302590480750146E-5</v>
      </c>
      <c r="K302" s="45">
        <f t="shared" si="28"/>
        <v>23.733456841214135</v>
      </c>
      <c r="L302" s="34">
        <f t="shared" si="29"/>
        <v>0.49027102552682461</v>
      </c>
      <c r="M302" s="45">
        <f t="shared" si="30"/>
        <v>30.218030586654862</v>
      </c>
    </row>
    <row r="303" spans="4:13" x14ac:dyDescent="0.35">
      <c r="D303" s="11">
        <v>92</v>
      </c>
      <c r="E303" s="56">
        <v>0.30784</v>
      </c>
      <c r="F303" s="34">
        <f t="shared" si="27"/>
        <v>0.23679999999999998</v>
      </c>
      <c r="G303" s="34">
        <f t="shared" si="25"/>
        <v>0.30149967999999999</v>
      </c>
      <c r="H303" s="53">
        <v>75</v>
      </c>
      <c r="I303" s="13">
        <v>0.1427666570677163</v>
      </c>
      <c r="J303" s="45">
        <f t="shared" si="31"/>
        <v>4.4996939490918601E-5</v>
      </c>
      <c r="K303" s="45">
        <f t="shared" si="28"/>
        <v>21.041884201107887</v>
      </c>
      <c r="L303" s="34">
        <f t="shared" si="29"/>
        <v>0.43683800469526873</v>
      </c>
      <c r="M303" s="45">
        <f t="shared" si="30"/>
        <v>26.791053011955583</v>
      </c>
    </row>
    <row r="304" spans="4:13" x14ac:dyDescent="0.35">
      <c r="D304" s="11">
        <v>93</v>
      </c>
      <c r="E304" s="56">
        <v>0.33161000000000002</v>
      </c>
      <c r="F304" s="34">
        <f t="shared" si="27"/>
        <v>0.25508461538461541</v>
      </c>
      <c r="G304" s="34">
        <f t="shared" si="25"/>
        <v>0.32478010942307695</v>
      </c>
      <c r="H304" s="53">
        <v>76</v>
      </c>
      <c r="I304" s="13">
        <v>0.14323589023972882</v>
      </c>
      <c r="J304" s="45">
        <f t="shared" si="31"/>
        <v>3.8165890204141689E-5</v>
      </c>
      <c r="K304" s="45">
        <f t="shared" si="28"/>
        <v>18.605313665354554</v>
      </c>
      <c r="L304" s="34">
        <f t="shared" si="29"/>
        <v>0.3890470571657178</v>
      </c>
      <c r="M304" s="45">
        <f t="shared" si="30"/>
        <v>23.688750491571053</v>
      </c>
    </row>
    <row r="305" spans="4:13" x14ac:dyDescent="0.35">
      <c r="D305" s="11">
        <v>94</v>
      </c>
      <c r="E305" s="56">
        <v>0.35671000000000003</v>
      </c>
      <c r="F305" s="34">
        <f t="shared" si="27"/>
        <v>0.27439230769230771</v>
      </c>
      <c r="G305" s="34">
        <f t="shared" si="25"/>
        <v>0.34936314596153845</v>
      </c>
      <c r="H305" s="53">
        <v>77</v>
      </c>
      <c r="I305" s="13">
        <v>0.14369995472724725</v>
      </c>
      <c r="J305" s="45">
        <f t="shared" si="31"/>
        <v>3.2356981334337237E-5</v>
      </c>
      <c r="K305" s="45">
        <f t="shared" si="28"/>
        <v>16.406756725489547</v>
      </c>
      <c r="L305" s="34">
        <f t="shared" si="29"/>
        <v>0.34632515354771137</v>
      </c>
      <c r="M305" s="45">
        <f t="shared" si="30"/>
        <v>20.889492831811424</v>
      </c>
    </row>
    <row r="306" spans="4:13" x14ac:dyDescent="0.35">
      <c r="D306" s="11">
        <v>95</v>
      </c>
      <c r="E306" s="56">
        <v>0.38311000000000001</v>
      </c>
      <c r="F306" s="34">
        <f t="shared" si="27"/>
        <v>0.29470000000000002</v>
      </c>
      <c r="G306" s="34">
        <f t="shared" si="25"/>
        <v>0.37521940749999999</v>
      </c>
      <c r="H306" s="53">
        <v>78</v>
      </c>
      <c r="I306" s="13">
        <v>0.14415896315868273</v>
      </c>
      <c r="J306" s="45">
        <f t="shared" si="31"/>
        <v>2.741974194891943E-5</v>
      </c>
      <c r="K306" s="45">
        <f t="shared" si="28"/>
        <v>14.429407187417741</v>
      </c>
      <c r="L306" s="34">
        <f t="shared" si="29"/>
        <v>0.3081546314443081</v>
      </c>
      <c r="M306" s="45">
        <f t="shared" si="30"/>
        <v>18.371881966199958</v>
      </c>
    </row>
    <row r="307" spans="4:13" x14ac:dyDescent="0.35">
      <c r="D307" s="11">
        <v>96</v>
      </c>
      <c r="E307" s="56">
        <v>0.41077999999999998</v>
      </c>
      <c r="F307" s="34">
        <f t="shared" si="27"/>
        <v>0.31598461538461536</v>
      </c>
      <c r="G307" s="34">
        <f t="shared" si="25"/>
        <v>0.40231951192307691</v>
      </c>
      <c r="H307" s="53">
        <v>79</v>
      </c>
      <c r="I307" s="13">
        <v>0.14461302452073777</v>
      </c>
      <c r="J307" s="45">
        <f t="shared" si="31"/>
        <v>2.3225443156829899E-5</v>
      </c>
      <c r="K307" s="45">
        <f t="shared" si="28"/>
        <v>12.656830308392991</v>
      </c>
      <c r="L307" s="34">
        <f t="shared" si="29"/>
        <v>0.27406819815917266</v>
      </c>
      <c r="M307" s="45">
        <f t="shared" si="30"/>
        <v>16.11499276940366</v>
      </c>
    </row>
    <row r="308" spans="4:13" x14ac:dyDescent="0.35">
      <c r="D308" s="11">
        <v>97</v>
      </c>
      <c r="E308" s="56">
        <v>0.43966</v>
      </c>
      <c r="F308" s="34">
        <f t="shared" si="27"/>
        <v>0.3382</v>
      </c>
      <c r="G308" s="34">
        <f t="shared" si="25"/>
        <v>0.43060469499999998</v>
      </c>
      <c r="H308" s="53">
        <v>80</v>
      </c>
      <c r="I308" s="13">
        <v>0.14506224431373416</v>
      </c>
      <c r="J308" s="45">
        <f t="shared" si="31"/>
        <v>1.9664023894999427E-5</v>
      </c>
      <c r="K308" s="45">
        <f t="shared" si="28"/>
        <v>11.0729933693409</v>
      </c>
      <c r="L308" s="34">
        <f t="shared" si="29"/>
        <v>0.24364434035224916</v>
      </c>
      <c r="M308" s="45">
        <f t="shared" si="30"/>
        <v>14.098411982679067</v>
      </c>
    </row>
    <row r="309" spans="4:13" x14ac:dyDescent="0.35">
      <c r="D309" s="11">
        <v>98</v>
      </c>
      <c r="E309" s="56">
        <v>0.46966000000000002</v>
      </c>
      <c r="F309" s="34">
        <f t="shared" si="27"/>
        <v>0.36127692307692311</v>
      </c>
      <c r="G309" s="34">
        <f t="shared" si="25"/>
        <v>0.45998681038461536</v>
      </c>
      <c r="H309" s="53">
        <v>81</v>
      </c>
      <c r="I309" s="13">
        <v>0.14550672469874695</v>
      </c>
      <c r="J309" s="45">
        <f t="shared" si="31"/>
        <v>1.6641440333265576E-5</v>
      </c>
      <c r="K309" s="45">
        <f t="shared" si="28"/>
        <v>9.662391489624504</v>
      </c>
      <c r="L309" s="34">
        <f t="shared" si="29"/>
        <v>0.21650311314043585</v>
      </c>
      <c r="M309" s="45">
        <f t="shared" si="30"/>
        <v>12.302398404377158</v>
      </c>
    </row>
    <row r="310" spans="4:13" x14ac:dyDescent="0.35">
      <c r="D310" s="11">
        <v>99</v>
      </c>
      <c r="E310" s="56">
        <v>0.50066999999999995</v>
      </c>
      <c r="F310" s="34">
        <f t="shared" si="27"/>
        <v>0.38513076923076917</v>
      </c>
      <c r="G310" s="34">
        <f t="shared" ref="G310:G341" si="32">F310 *$Z$228 + E310 *$Z$229</f>
        <v>0.49035812365384607</v>
      </c>
      <c r="H310" s="53">
        <v>82</v>
      </c>
      <c r="I310" s="13">
        <v>0.14594656463705721</v>
      </c>
      <c r="J310" s="45">
        <f t="shared" si="31"/>
        <v>1.4077382336699302E-5</v>
      </c>
      <c r="K310" s="45">
        <f t="shared" si="28"/>
        <v>8.4101314131021851</v>
      </c>
      <c r="L310" s="34">
        <f t="shared" si="29"/>
        <v>0.19230228223723611</v>
      </c>
      <c r="M310" s="45">
        <f t="shared" si="30"/>
        <v>10.707989568447028</v>
      </c>
    </row>
    <row r="311" spans="4:13" x14ac:dyDescent="0.35">
      <c r="D311" s="11">
        <v>100</v>
      </c>
      <c r="E311" s="56">
        <v>0.53254999999999997</v>
      </c>
      <c r="F311" s="34">
        <f t="shared" si="27"/>
        <v>0.40965384615384609</v>
      </c>
      <c r="G311" s="34">
        <f t="shared" si="32"/>
        <v>0.52158151826923072</v>
      </c>
      <c r="H311" s="53">
        <v>83</v>
      </c>
      <c r="I311" s="13">
        <v>0.14638186002240069</v>
      </c>
      <c r="J311" s="45">
        <f t="shared" si="31"/>
        <v>1.1903307679066564E-5</v>
      </c>
      <c r="K311" s="45">
        <f t="shared" si="28"/>
        <v>7.302010844599204</v>
      </c>
      <c r="L311" s="34">
        <f t="shared" si="29"/>
        <v>0.17073379389814064</v>
      </c>
      <c r="M311" s="45">
        <f t="shared" si="30"/>
        <v>9.2971027576148213</v>
      </c>
    </row>
    <row r="312" spans="4:13" x14ac:dyDescent="0.35">
      <c r="D312" s="11">
        <v>101</v>
      </c>
      <c r="E312" s="56">
        <v>0.56513000000000002</v>
      </c>
      <c r="F312" s="34">
        <f t="shared" si="27"/>
        <v>0.43471538461538461</v>
      </c>
      <c r="G312" s="34">
        <f t="shared" si="32"/>
        <v>0.55349049557692309</v>
      </c>
      <c r="H312" s="53">
        <v>84</v>
      </c>
      <c r="I312" s="13">
        <v>0.14681270380645348</v>
      </c>
      <c r="J312" s="45">
        <f t="shared" si="31"/>
        <v>1.0060751074336997E-5</v>
      </c>
      <c r="K312" s="45">
        <f t="shared" si="28"/>
        <v>6.3245363820961931</v>
      </c>
      <c r="L312" s="34">
        <f t="shared" si="29"/>
        <v>0.15152054866039572</v>
      </c>
      <c r="M312" s="45">
        <f t="shared" si="30"/>
        <v>8.0525578350944258</v>
      </c>
    </row>
    <row r="313" spans="4:13" x14ac:dyDescent="0.35">
      <c r="D313" s="11">
        <v>102</v>
      </c>
      <c r="E313" s="56">
        <v>0.56722087500000007</v>
      </c>
      <c r="F313" s="34">
        <f t="shared" si="27"/>
        <v>0.43632375000000007</v>
      </c>
      <c r="G313" s="34">
        <f t="shared" si="32"/>
        <v>0.55553830659375003</v>
      </c>
      <c r="H313" s="54">
        <v>85</v>
      </c>
      <c r="I313" s="15">
        <v>0.14723918611796641</v>
      </c>
      <c r="J313" s="46">
        <f t="shared" si="31"/>
        <v>8.4998706837546083E-6</v>
      </c>
      <c r="K313" s="46">
        <f t="shared" si="28"/>
        <v>6.5383620644266207</v>
      </c>
      <c r="L313" s="35">
        <f t="shared" si="29"/>
        <v>0.13441345611577743</v>
      </c>
      <c r="M313" s="46">
        <f t="shared" si="30"/>
        <v>8.3248060394795846</v>
      </c>
    </row>
    <row r="314" spans="4:13" x14ac:dyDescent="0.35">
      <c r="D314" s="11">
        <v>103</v>
      </c>
      <c r="E314" s="56">
        <v>0.56931175000000001</v>
      </c>
      <c r="F314" s="34">
        <f t="shared" si="27"/>
        <v>0.43793211538461535</v>
      </c>
      <c r="G314" s="34">
        <f t="shared" si="32"/>
        <v>0.55758611761057686</v>
      </c>
      <c r="L314" s="27"/>
    </row>
    <row r="315" spans="4:13" x14ac:dyDescent="0.35">
      <c r="D315" s="11">
        <v>104</v>
      </c>
      <c r="E315" s="56">
        <v>0.57140262499999994</v>
      </c>
      <c r="F315" s="34">
        <f t="shared" si="27"/>
        <v>0.43954048076923069</v>
      </c>
      <c r="G315" s="34">
        <f t="shared" si="32"/>
        <v>0.55963392862740369</v>
      </c>
      <c r="L315" s="27"/>
    </row>
    <row r="316" spans="4:13" ht="15" thickBot="1" x14ac:dyDescent="0.4">
      <c r="D316" s="11">
        <v>105</v>
      </c>
      <c r="E316" s="56">
        <v>0.57349349999999988</v>
      </c>
      <c r="F316" s="34">
        <f t="shared" si="27"/>
        <v>0.44114884615384603</v>
      </c>
      <c r="G316" s="34">
        <f t="shared" si="32"/>
        <v>0.56168173964423063</v>
      </c>
      <c r="K316" s="65">
        <f>SUM(K228:K313)</f>
        <v>74120.323542381273</v>
      </c>
      <c r="L316" s="27">
        <f>SUM(L228:L313)</f>
        <v>4748.5797905782283</v>
      </c>
      <c r="M316" s="65">
        <f>SUM(M228:M313)</f>
        <v>81248.053835823841</v>
      </c>
    </row>
    <row r="317" spans="4:13" ht="15" thickTop="1" x14ac:dyDescent="0.35">
      <c r="D317" s="11">
        <v>106</v>
      </c>
      <c r="E317" s="56">
        <v>0.57558437499999981</v>
      </c>
      <c r="F317" s="34">
        <f t="shared" si="27"/>
        <v>0.44275721153846137</v>
      </c>
      <c r="G317" s="34">
        <f t="shared" si="32"/>
        <v>0.56372955066105745</v>
      </c>
      <c r="L317" s="27">
        <v>250</v>
      </c>
    </row>
    <row r="318" spans="4:13" ht="15" thickBot="1" x14ac:dyDescent="0.4">
      <c r="D318" s="11">
        <v>107</v>
      </c>
      <c r="E318" s="56">
        <v>0.57767524999999975</v>
      </c>
      <c r="F318" s="34">
        <f t="shared" si="27"/>
        <v>0.44436557692307671</v>
      </c>
      <c r="G318" s="34">
        <f t="shared" si="32"/>
        <v>0.56577736167788428</v>
      </c>
      <c r="L318" s="64">
        <f>SUM(L316:L317)</f>
        <v>4998.5797905782283</v>
      </c>
    </row>
    <row r="319" spans="4:13" ht="15" thickTop="1" x14ac:dyDescent="0.35">
      <c r="D319" s="11">
        <v>108</v>
      </c>
      <c r="E319" s="56">
        <v>0.57976612499999969</v>
      </c>
      <c r="F319" s="34">
        <f t="shared" si="27"/>
        <v>0.44597394230769205</v>
      </c>
      <c r="G319" s="34">
        <f t="shared" si="32"/>
        <v>0.56782517269471111</v>
      </c>
      <c r="L319" s="27"/>
    </row>
    <row r="320" spans="4:13" x14ac:dyDescent="0.35">
      <c r="D320" s="11">
        <v>109</v>
      </c>
      <c r="E320" s="57">
        <v>0.58185699999999996</v>
      </c>
      <c r="F320" s="34">
        <f t="shared" si="27"/>
        <v>0.44758230769230767</v>
      </c>
      <c r="G320" s="34">
        <f t="shared" si="32"/>
        <v>0.56987298371153838</v>
      </c>
      <c r="L320" s="27"/>
    </row>
    <row r="321" spans="4:13" x14ac:dyDescent="0.35">
      <c r="D321" s="11">
        <v>110</v>
      </c>
      <c r="E321" s="57">
        <v>0.60791799999999996</v>
      </c>
      <c r="F321" s="34">
        <f t="shared" si="27"/>
        <v>0.46762923076923074</v>
      </c>
      <c r="G321" s="34">
        <f t="shared" si="32"/>
        <v>0.59539722734615375</v>
      </c>
      <c r="K321" t="s">
        <v>36</v>
      </c>
      <c r="L321" s="27"/>
      <c r="M321" t="s">
        <v>37</v>
      </c>
    </row>
    <row r="322" spans="4:13" ht="15" thickBot="1" x14ac:dyDescent="0.4">
      <c r="D322" s="11">
        <v>111</v>
      </c>
      <c r="E322" s="57">
        <v>0.63373100000000004</v>
      </c>
      <c r="F322" s="34">
        <f t="shared" si="27"/>
        <v>0.48748538461538465</v>
      </c>
      <c r="G322" s="34">
        <f t="shared" si="32"/>
        <v>0.62067857882692312</v>
      </c>
      <c r="K322" s="65">
        <f>(K316+L318)/SUM(J228:J313)</f>
        <v>7053.8995449545764</v>
      </c>
      <c r="L322" s="27"/>
      <c r="M322" s="65">
        <f>(M316+L318)/SUM(J228:J313)</f>
        <v>7689.3771786862417</v>
      </c>
    </row>
    <row r="323" spans="4:13" ht="15" thickTop="1" x14ac:dyDescent="0.35">
      <c r="D323" s="11">
        <v>112</v>
      </c>
      <c r="E323" s="57">
        <v>0.65917099999999995</v>
      </c>
      <c r="F323" s="34">
        <f t="shared" si="27"/>
        <v>0.50705461538461538</v>
      </c>
      <c r="G323" s="34">
        <f t="shared" si="32"/>
        <v>0.64559461267307683</v>
      </c>
      <c r="L323" s="27"/>
    </row>
    <row r="324" spans="4:13" x14ac:dyDescent="0.35">
      <c r="D324" s="11">
        <v>113</v>
      </c>
      <c r="E324" s="57">
        <v>0.684114</v>
      </c>
      <c r="F324" s="34">
        <f t="shared" si="27"/>
        <v>0.52624153846153843</v>
      </c>
      <c r="G324" s="34">
        <f t="shared" si="32"/>
        <v>0.67002388280769232</v>
      </c>
      <c r="L324" s="27"/>
    </row>
    <row r="325" spans="4:13" x14ac:dyDescent="0.35">
      <c r="D325" s="11">
        <v>114</v>
      </c>
      <c r="E325" s="57">
        <v>0.70844200000000002</v>
      </c>
      <c r="F325" s="34">
        <f t="shared" si="27"/>
        <v>0.54495538461538462</v>
      </c>
      <c r="G325" s="34">
        <f t="shared" si="32"/>
        <v>0.69385081957692296</v>
      </c>
      <c r="L325" s="27"/>
    </row>
    <row r="326" spans="4:13" x14ac:dyDescent="0.35">
      <c r="D326" s="11">
        <v>115</v>
      </c>
      <c r="E326" s="57">
        <v>0.73204199999999997</v>
      </c>
      <c r="F326" s="34">
        <f t="shared" si="27"/>
        <v>0.5631092307692307</v>
      </c>
      <c r="G326" s="34">
        <f t="shared" si="32"/>
        <v>0.71696475034615381</v>
      </c>
      <c r="L326" s="27"/>
    </row>
    <row r="327" spans="4:13" x14ac:dyDescent="0.35">
      <c r="D327" s="11">
        <v>116</v>
      </c>
      <c r="E327" s="57">
        <v>0.75480899999999995</v>
      </c>
      <c r="F327" s="34">
        <f t="shared" si="27"/>
        <v>0.5806223076923076</v>
      </c>
      <c r="G327" s="34">
        <f t="shared" si="32"/>
        <v>0.73926283771153833</v>
      </c>
      <c r="L327" s="27"/>
    </row>
    <row r="328" spans="4:13" x14ac:dyDescent="0.35">
      <c r="D328" s="11">
        <v>117</v>
      </c>
      <c r="E328" s="57">
        <v>0.77664800000000001</v>
      </c>
      <c r="F328" s="34">
        <f t="shared" si="27"/>
        <v>0.59742153846153845</v>
      </c>
      <c r="G328" s="34">
        <f t="shared" si="32"/>
        <v>0.76065203830769224</v>
      </c>
      <c r="L328" s="27"/>
    </row>
    <row r="329" spans="4:13" x14ac:dyDescent="0.35">
      <c r="D329" s="11">
        <v>118</v>
      </c>
      <c r="E329" s="57">
        <v>0.79747699999999999</v>
      </c>
      <c r="F329" s="34">
        <f t="shared" si="27"/>
        <v>0.61344384615384617</v>
      </c>
      <c r="G329" s="34">
        <f t="shared" si="32"/>
        <v>0.78105204101923076</v>
      </c>
      <c r="L329" s="27"/>
    </row>
    <row r="330" spans="4:13" x14ac:dyDescent="0.35">
      <c r="D330" s="11">
        <v>119</v>
      </c>
      <c r="E330" s="57">
        <v>0.81722499999999998</v>
      </c>
      <c r="F330" s="34">
        <f t="shared" si="27"/>
        <v>0.62863461538461529</v>
      </c>
      <c r="G330" s="34">
        <f t="shared" si="32"/>
        <v>0.80039330817307686</v>
      </c>
      <c r="L330" s="27"/>
    </row>
    <row r="331" spans="4:13" x14ac:dyDescent="0.35">
      <c r="D331" s="14">
        <v>120</v>
      </c>
      <c r="E331" s="58">
        <v>1</v>
      </c>
      <c r="F331" s="35">
        <f t="shared" si="27"/>
        <v>0.76923076923076916</v>
      </c>
      <c r="G331" s="35">
        <f t="shared" si="32"/>
        <v>0.97940384615384612</v>
      </c>
      <c r="L331" s="27"/>
    </row>
    <row r="332" spans="4:13" x14ac:dyDescent="0.35">
      <c r="E332" s="8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8062-2816-4221-B1D3-532CC750CFAA}">
  <dimension ref="A1"/>
  <sheetViews>
    <sheetView showGridLines="0" workbookViewId="0">
      <selection activeCell="A2" sqref="A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Details</vt:lpstr>
      <vt:lpstr>Inputs</vt:lpstr>
      <vt:lpstr>Calculations</vt:lpstr>
      <vt:lpstr>Results</vt:lpstr>
      <vt:lpstr>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Corlia Laue</dc:creator>
  <cp:lastModifiedBy>Mr. N Mohube</cp:lastModifiedBy>
  <dcterms:created xsi:type="dcterms:W3CDTF">2022-07-06T09:12:50Z</dcterms:created>
  <dcterms:modified xsi:type="dcterms:W3CDTF">2024-10-01T06:58:06Z</dcterms:modified>
</cp:coreProperties>
</file>